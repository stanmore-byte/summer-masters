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finedtechnologies-my.sharepoint.com/personal/whaughey_r-t-i_com/Documents/Documents/Claude/Projects/Azzurri Storm/"/>
    </mc:Choice>
  </mc:AlternateContent>
  <xr:revisionPtr revIDLastSave="64" documentId="11_5F97B3B377F458D5CCAAD7C80BDD8D0645F40035" xr6:coauthVersionLast="47" xr6:coauthVersionMax="47" xr10:uidLastSave="{BC5AFF21-EA34-4240-B55C-2DBF8C13B3A0}"/>
  <bookViews>
    <workbookView xWindow="8250" yWindow="2055" windowWidth="24000" windowHeight="18405" tabRatio="500" xr2:uid="{00000000-000D-0000-FFFF-FFFF00000000}"/>
  </bookViews>
  <sheets>
    <sheet name="Master Roster" sheetId="1" r:id="rId1"/>
    <sheet name="U-8" sheetId="2" r:id="rId2"/>
    <sheet name="U-9" sheetId="3" r:id="rId3"/>
    <sheet name="U-10" sheetId="4" r:id="rId4"/>
    <sheet name="U-11" sheetId="5" r:id="rId5"/>
    <sheet name="U-12" sheetId="6" r:id="rId6"/>
    <sheet name="U-13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7" i="1" l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43" i="1"/>
  <c r="K42" i="1"/>
  <c r="K41" i="1"/>
  <c r="K40" i="1"/>
  <c r="K39" i="1"/>
  <c r="K38" i="1"/>
  <c r="K37" i="1"/>
  <c r="K36" i="1"/>
  <c r="K35" i="1"/>
  <c r="K34" i="1"/>
  <c r="K33" i="1"/>
  <c r="K32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I94" i="1"/>
  <c r="I75" i="1"/>
  <c r="I59" i="1"/>
  <c r="I43" i="1"/>
  <c r="I27" i="1"/>
  <c r="I14" i="1"/>
</calcChain>
</file>

<file path=xl/sharedStrings.xml><?xml version="1.0" encoding="utf-8"?>
<sst xmlns="http://schemas.openxmlformats.org/spreadsheetml/2006/main" count="1015" uniqueCount="371">
  <si>
    <t>Azzurri Storm Girls — Master Roster  |  All Teams 2025–26</t>
  </si>
  <si>
    <t>Team</t>
  </si>
  <si>
    <t>#</t>
  </si>
  <si>
    <t>First Name</t>
  </si>
  <si>
    <t>Last Name</t>
  </si>
  <si>
    <t>Date of Birth</t>
  </si>
  <si>
    <t>Contact Email</t>
  </si>
  <si>
    <t>Phone</t>
  </si>
  <si>
    <t>Role</t>
  </si>
  <si>
    <t>U-8</t>
  </si>
  <si>
    <t>Grace</t>
  </si>
  <si>
    <t>Hudson</t>
  </si>
  <si>
    <t>12/26/2018</t>
  </si>
  <si>
    <t>chris.d.hudson@gmail.com</t>
  </si>
  <si>
    <t>Player</t>
  </si>
  <si>
    <t>Savannah</t>
  </si>
  <si>
    <t>Allard</t>
  </si>
  <si>
    <t>2/1/2019</t>
  </si>
  <si>
    <t>sallars@gmail.com</t>
  </si>
  <si>
    <t>Saylor</t>
  </si>
  <si>
    <t>Singletary</t>
  </si>
  <si>
    <t>3/3/2019</t>
  </si>
  <si>
    <t>danielle.singletary8@yahoo.com</t>
  </si>
  <si>
    <t>Norah</t>
  </si>
  <si>
    <t>Smith</t>
  </si>
  <si>
    <t>5/1/2019</t>
  </si>
  <si>
    <t>laurenashleysmith7@gmail.com</t>
  </si>
  <si>
    <t>(937) 307-8680</t>
  </si>
  <si>
    <t>Mollie</t>
  </si>
  <si>
    <t>Bucci</t>
  </si>
  <si>
    <t>4/18/2019</t>
  </si>
  <si>
    <t>morris.tamra@gmail.com</t>
  </si>
  <si>
    <t>Elaina</t>
  </si>
  <si>
    <t>Maker</t>
  </si>
  <si>
    <t>4/24/2019</t>
  </si>
  <si>
    <t>ruffoloc@umich.edu</t>
  </si>
  <si>
    <t>(978) 771-7341</t>
  </si>
  <si>
    <t>Freya</t>
  </si>
  <si>
    <t>Hulme</t>
  </si>
  <si>
    <t>4/25/2019</t>
  </si>
  <si>
    <t>hulmelisav@gmail.com</t>
  </si>
  <si>
    <t>(239) 851-6636</t>
  </si>
  <si>
    <t>Maia</t>
  </si>
  <si>
    <t>Green</t>
  </si>
  <si>
    <t>5/18/2019</t>
  </si>
  <si>
    <t>allie_kolakowski@yahoo.com</t>
  </si>
  <si>
    <t>(440) 537-4894</t>
  </si>
  <si>
    <t>Reese</t>
  </si>
  <si>
    <t>Heaps</t>
  </si>
  <si>
    <t>6/10/2019</t>
  </si>
  <si>
    <t>rhandschumacher@yahoo.com</t>
  </si>
  <si>
    <t>Addilynn</t>
  </si>
  <si>
    <t>Correia</t>
  </si>
  <si>
    <t>6/13/2019</t>
  </si>
  <si>
    <t>michellegooley@yahoo.com</t>
  </si>
  <si>
    <t>Chance</t>
  </si>
  <si>
    <t>chance.singletary@yahoo.com</t>
  </si>
  <si>
    <t>(239) 825-8311</t>
  </si>
  <si>
    <t>Coach</t>
  </si>
  <si>
    <t>U-9</t>
  </si>
  <si>
    <t>Amelia</t>
  </si>
  <si>
    <t>Skuggedal</t>
  </si>
  <si>
    <t>8/19/2017</t>
  </si>
  <si>
    <t>clskuggedal@gmail.com</t>
  </si>
  <si>
    <t>(509) 564-4299</t>
  </si>
  <si>
    <t>Brooklyn</t>
  </si>
  <si>
    <t>Paciello</t>
  </si>
  <si>
    <t>9/2/2017</t>
  </si>
  <si>
    <t>and-bel@hotmail.com</t>
  </si>
  <si>
    <t>(617) 935-6302</t>
  </si>
  <si>
    <t>Alaia</t>
  </si>
  <si>
    <t>Ebrahimi</t>
  </si>
  <si>
    <t>9/20/2017</t>
  </si>
  <si>
    <t>jebrahimi@nietofamilylaw.com</t>
  </si>
  <si>
    <t>(954) 464-3806</t>
  </si>
  <si>
    <t>Olive</t>
  </si>
  <si>
    <t>Lewis</t>
  </si>
  <si>
    <t>9/29/2017</t>
  </si>
  <si>
    <t>joshandmarce@gmail.com</t>
  </si>
  <si>
    <t>(239) 699-0525</t>
  </si>
  <si>
    <t>Josephine</t>
  </si>
  <si>
    <t>Singer</t>
  </si>
  <si>
    <t>10/22/2017</t>
  </si>
  <si>
    <t>gabrielle.dadamo@gmail.com</t>
  </si>
  <si>
    <t>(239) 821-4389</t>
  </si>
  <si>
    <t>Bertsch</t>
  </si>
  <si>
    <t>6/8/2018</t>
  </si>
  <si>
    <t>sausaine@yahoo.com</t>
  </si>
  <si>
    <t>(440) 773-5859</t>
  </si>
  <si>
    <t>Ashlyn</t>
  </si>
  <si>
    <t>Edwards</t>
  </si>
  <si>
    <t>4/3/2018</t>
  </si>
  <si>
    <t>eedwards4610@gmail.com</t>
  </si>
  <si>
    <t>(239) 273-3098</t>
  </si>
  <si>
    <t>Lyla</t>
  </si>
  <si>
    <t>Pickard</t>
  </si>
  <si>
    <t>2/11/2018</t>
  </si>
  <si>
    <t>brittanyleighpickard@gmail.com</t>
  </si>
  <si>
    <t>(239) 293-9302</t>
  </si>
  <si>
    <t>Sadie</t>
  </si>
  <si>
    <t>Lutgert</t>
  </si>
  <si>
    <t>1/28/2018</t>
  </si>
  <si>
    <t>erik@lutgert.com</t>
  </si>
  <si>
    <t>(239) 250-1050</t>
  </si>
  <si>
    <t>Charlotte</t>
  </si>
  <si>
    <t>Geraghty</t>
  </si>
  <si>
    <t>1/13/2018</t>
  </si>
  <si>
    <t>Nicole.geraghty@yahoo.com</t>
  </si>
  <si>
    <t>(239) 293-2436</t>
  </si>
  <si>
    <t>Hayley</t>
  </si>
  <si>
    <t>Taras</t>
  </si>
  <si>
    <t>4/26/2018</t>
  </si>
  <si>
    <t>soccerballer3_3@yahoo.com</t>
  </si>
  <si>
    <t>(239) 560-7534</t>
  </si>
  <si>
    <t>Joshua</t>
  </si>
  <si>
    <t>jlewis@azzurristorm.com</t>
  </si>
  <si>
    <t>Sina</t>
  </si>
  <si>
    <t>sina.ebrahimi@kimley-horn.com</t>
  </si>
  <si>
    <t>U-10</t>
  </si>
  <si>
    <t>Emerson</t>
  </si>
  <si>
    <t>9/8/2016</t>
  </si>
  <si>
    <t>Sophia</t>
  </si>
  <si>
    <t>May</t>
  </si>
  <si>
    <t>10/11/2016</t>
  </si>
  <si>
    <t>nicolebreehne07@gmail.com</t>
  </si>
  <si>
    <t>(239) 273-0952</t>
  </si>
  <si>
    <t>Mikaela</t>
  </si>
  <si>
    <t>Prieto</t>
  </si>
  <si>
    <t>12/21/2016</t>
  </si>
  <si>
    <t>nathy1115@yahoo.com</t>
  </si>
  <si>
    <t>Madeline</t>
  </si>
  <si>
    <t>Palumbo</t>
  </si>
  <si>
    <t>1/11/2017</t>
  </si>
  <si>
    <t>daniella3619@gmail.com</t>
  </si>
  <si>
    <t>Kora</t>
  </si>
  <si>
    <t>2/3/2017</t>
  </si>
  <si>
    <t>Olivia</t>
  </si>
  <si>
    <t>Cacciatori</t>
  </si>
  <si>
    <t>2/7/2017</t>
  </si>
  <si>
    <t>lauren2471@gmail.com</t>
  </si>
  <si>
    <t>Kodi</t>
  </si>
  <si>
    <t>Barnaby</t>
  </si>
  <si>
    <t>7/3/2017</t>
  </si>
  <si>
    <t>erynsutton@yahoo.com</t>
  </si>
  <si>
    <t>Brinley</t>
  </si>
  <si>
    <t>Basho</t>
  </si>
  <si>
    <t>7/8/2017</t>
  </si>
  <si>
    <t>jbasho530@gmail.com</t>
  </si>
  <si>
    <t>Abigail</t>
  </si>
  <si>
    <t>Williams</t>
  </si>
  <si>
    <t>8/22/2017</t>
  </si>
  <si>
    <t>cwaltersfive@aol.com</t>
  </si>
  <si>
    <t>Crue</t>
  </si>
  <si>
    <t>Zinser</t>
  </si>
  <si>
    <t>11/20/2017</t>
  </si>
  <si>
    <t>hatfieldlindy@gmail.com</t>
  </si>
  <si>
    <t>(989) 400-3681</t>
  </si>
  <si>
    <t>Yardley</t>
  </si>
  <si>
    <t>Thompson</t>
  </si>
  <si>
    <t>hbarenburg@gmail.com</t>
  </si>
  <si>
    <t>Stella</t>
  </si>
  <si>
    <t>Tilley</t>
  </si>
  <si>
    <t>Olyatilley@yahoo.com</t>
  </si>
  <si>
    <t>Kevin</t>
  </si>
  <si>
    <t>O'Connor</t>
  </si>
  <si>
    <t>koconnor@azzurristorm.com</t>
  </si>
  <si>
    <t>(929) 584-8249</t>
  </si>
  <si>
    <t>U-11</t>
  </si>
  <si>
    <t>Ellianah</t>
  </si>
  <si>
    <t>Mawby</t>
  </si>
  <si>
    <t>5/27/2016</t>
  </si>
  <si>
    <t>meganmawby@yahoo.com</t>
  </si>
  <si>
    <t>(239) 878-9892</t>
  </si>
  <si>
    <t>Aria</t>
  </si>
  <si>
    <t>Parker</t>
  </si>
  <si>
    <t>1/19/2016</t>
  </si>
  <si>
    <t>brooke.johnsonparker@gmail.com</t>
  </si>
  <si>
    <t>(239) 572-2872</t>
  </si>
  <si>
    <t>Moody</t>
  </si>
  <si>
    <t>2/18/2016</t>
  </si>
  <si>
    <t>jcmoody14@gmail.com</t>
  </si>
  <si>
    <t>(850) 503-7635</t>
  </si>
  <si>
    <t>Mia</t>
  </si>
  <si>
    <t>Moore</t>
  </si>
  <si>
    <t>2/8/2016</t>
  </si>
  <si>
    <t>mbrooke375@gmail.com</t>
  </si>
  <si>
    <t>(239) 565-7122</t>
  </si>
  <si>
    <t>Annika</t>
  </si>
  <si>
    <t>Helmbrecht</t>
  </si>
  <si>
    <t>10/23/2015</t>
  </si>
  <si>
    <t>laura@helmbrechtlaw.com</t>
  </si>
  <si>
    <t>(614) 370-7897</t>
  </si>
  <si>
    <t>Gracie</t>
  </si>
  <si>
    <t>Freeman</t>
  </si>
  <si>
    <t>4/1/2016</t>
  </si>
  <si>
    <t>laurabushfreeman@gmail.com</t>
  </si>
  <si>
    <t>(214) 843-8855</t>
  </si>
  <si>
    <t>Audrey</t>
  </si>
  <si>
    <t>Haughey</t>
  </si>
  <si>
    <t>3/2/2016</t>
  </si>
  <si>
    <t>whaughey@gmail.com</t>
  </si>
  <si>
    <t>(314) 303-6614</t>
  </si>
  <si>
    <t>Mikayla</t>
  </si>
  <si>
    <t>Harris</t>
  </si>
  <si>
    <t>9/22/2016</t>
  </si>
  <si>
    <t>alliesoria23@gmail.com</t>
  </si>
  <si>
    <t>(239) 537-6149</t>
  </si>
  <si>
    <t>Aubree</t>
  </si>
  <si>
    <t>Hart</t>
  </si>
  <si>
    <t>9/24/2016</t>
  </si>
  <si>
    <t>chiantelle@comcast.net</t>
  </si>
  <si>
    <t>(239) 537-5777</t>
  </si>
  <si>
    <t>Shailynn</t>
  </si>
  <si>
    <t>Duran</t>
  </si>
  <si>
    <t>1/18/2016</t>
  </si>
  <si>
    <t>steph.duran278@gmail.com</t>
  </si>
  <si>
    <t>(505) 453-0906</t>
  </si>
  <si>
    <t>Avora</t>
  </si>
  <si>
    <t>Martin</t>
  </si>
  <si>
    <t>8/29/2016</t>
  </si>
  <si>
    <t>will.martin26@gmail.com</t>
  </si>
  <si>
    <t>(757) 897-4881</t>
  </si>
  <si>
    <t>Louise</t>
  </si>
  <si>
    <t>Bare</t>
  </si>
  <si>
    <t>steph.bare@gmail.com</t>
  </si>
  <si>
    <t>(239) 293-2446</t>
  </si>
  <si>
    <t>Will</t>
  </si>
  <si>
    <t>whaughey@azzurristorm.com</t>
  </si>
  <si>
    <t>U-12</t>
  </si>
  <si>
    <t>Keira</t>
  </si>
  <si>
    <t>Burns</t>
  </si>
  <si>
    <t>2/17/2015</t>
  </si>
  <si>
    <t>paburns44@hotmail.com</t>
  </si>
  <si>
    <t>(239) 292-0338</t>
  </si>
  <si>
    <t>Lydia</t>
  </si>
  <si>
    <t>Tibbetts</t>
  </si>
  <si>
    <t>1/25/2015</t>
  </si>
  <si>
    <t>rebecca.tibbetts@gmail.com</t>
  </si>
  <si>
    <t>(609) 937-6122</t>
  </si>
  <si>
    <t>Malia</t>
  </si>
  <si>
    <t>McGrane</t>
  </si>
  <si>
    <t>2/11/2015</t>
  </si>
  <si>
    <t>adammcgrane@gmail.com</t>
  </si>
  <si>
    <t>(763) 242-5137</t>
  </si>
  <si>
    <t>Zoe</t>
  </si>
  <si>
    <t>Davenport</t>
  </si>
  <si>
    <t>8/1/2015</t>
  </si>
  <si>
    <t>zoeandkye@gmail.com</t>
  </si>
  <si>
    <t>(239) 603-1496</t>
  </si>
  <si>
    <t>Samantha</t>
  </si>
  <si>
    <t>Gale</t>
  </si>
  <si>
    <t>8/15/2015</t>
  </si>
  <si>
    <t>stephaniegale24@yahoo.com</t>
  </si>
  <si>
    <t>(919) 426-4248</t>
  </si>
  <si>
    <t>Kareena</t>
  </si>
  <si>
    <t>Robinson</t>
  </si>
  <si>
    <t>8/20/2015</t>
  </si>
  <si>
    <t>kiranjeet.gill@gmail.com</t>
  </si>
  <si>
    <t>(312) 285-6118</t>
  </si>
  <si>
    <t>Lola</t>
  </si>
  <si>
    <t>Kowalczyk</t>
  </si>
  <si>
    <t>7/10/2015</t>
  </si>
  <si>
    <t>jennaak09@gmail.com</t>
  </si>
  <si>
    <t>(239) 293-9798</t>
  </si>
  <si>
    <t>Paisley</t>
  </si>
  <si>
    <t>Scott</t>
  </si>
  <si>
    <t>6/4/2015</t>
  </si>
  <si>
    <t>randiespy@icloud.com</t>
  </si>
  <si>
    <t>(239) 404-6411</t>
  </si>
  <si>
    <t>Juliet</t>
  </si>
  <si>
    <t>Gomez</t>
  </si>
  <si>
    <t>7/23/2015</t>
  </si>
  <si>
    <t>taywalls91@gmail.com</t>
  </si>
  <si>
    <t>(239) 601-3882</t>
  </si>
  <si>
    <t>Mariana</t>
  </si>
  <si>
    <t>Contreras Zarate</t>
  </si>
  <si>
    <t>5/30/2015</t>
  </si>
  <si>
    <t>nesqf@hotmail.com</t>
  </si>
  <si>
    <t>Collette</t>
  </si>
  <si>
    <t>Whittington</t>
  </si>
  <si>
    <t>sasha.whittington@gmail.com</t>
  </si>
  <si>
    <t>Chelsea</t>
  </si>
  <si>
    <t>Sanson</t>
  </si>
  <si>
    <t>10/17/2015</t>
  </si>
  <si>
    <t>lianesanson@gmail.com; marielle.casanova@gmail.com; ryansanson925@gmail.com</t>
  </si>
  <si>
    <t>Phillips</t>
  </si>
  <si>
    <t>1/26/2015</t>
  </si>
  <si>
    <t>erkpa@hotmail.com</t>
  </si>
  <si>
    <t>Jamie</t>
  </si>
  <si>
    <t>jedwards@azzurristorm.com</t>
  </si>
  <si>
    <t>(845) 537-6210</t>
  </si>
  <si>
    <t>U-13</t>
  </si>
  <si>
    <t>Madalyn</t>
  </si>
  <si>
    <t>Baker</t>
  </si>
  <si>
    <t>7/17/2014</t>
  </si>
  <si>
    <t>abbybaker32@gmail.com</t>
  </si>
  <si>
    <t>(410) 707-8348</t>
  </si>
  <si>
    <t>Myra</t>
  </si>
  <si>
    <t>Palomba</t>
  </si>
  <si>
    <t>6/16/2014</t>
  </si>
  <si>
    <t>lmmlcek@yahoo.com</t>
  </si>
  <si>
    <t>(239) 821-4801</t>
  </si>
  <si>
    <t>Hannah</t>
  </si>
  <si>
    <t>6/17/2014</t>
  </si>
  <si>
    <t>Marie</t>
  </si>
  <si>
    <t>Twetan</t>
  </si>
  <si>
    <t>6/27/2014</t>
  </si>
  <si>
    <t>tmtwetan@me.com</t>
  </si>
  <si>
    <t>(662) 801-2915</t>
  </si>
  <si>
    <t>Susanna</t>
  </si>
  <si>
    <t>Davidow</t>
  </si>
  <si>
    <t>2/13/2014</t>
  </si>
  <si>
    <t>cdavidow@willisdavidow.com</t>
  </si>
  <si>
    <t>(239) 298-3421</t>
  </si>
  <si>
    <t>Hailey</t>
  </si>
  <si>
    <t>Olson</t>
  </si>
  <si>
    <t>3/11/2014</t>
  </si>
  <si>
    <t>sjolson32@gmail.com</t>
  </si>
  <si>
    <t>Hooker</t>
  </si>
  <si>
    <t>2/1/2014</t>
  </si>
  <si>
    <t>dhooker@graco.com</t>
  </si>
  <si>
    <t>(404) 808-3810</t>
  </si>
  <si>
    <t>Noelle</t>
  </si>
  <si>
    <t>Barnhart</t>
  </si>
  <si>
    <t>1/4/2014</t>
  </si>
  <si>
    <t>clbarnhart08@gmail.com</t>
  </si>
  <si>
    <t>Baylor</t>
  </si>
  <si>
    <t>Jones</t>
  </si>
  <si>
    <t>9/2/2014</t>
  </si>
  <si>
    <t>zenjones24@gmail.com</t>
  </si>
  <si>
    <t>Blauch</t>
  </si>
  <si>
    <t>10/24/2013</t>
  </si>
  <si>
    <t>amyccflorida@gmail.com</t>
  </si>
  <si>
    <t>Kaia</t>
  </si>
  <si>
    <t>Gadbury</t>
  </si>
  <si>
    <t>7/30/2014</t>
  </si>
  <si>
    <t>nicolasegadbury@gmail.com</t>
  </si>
  <si>
    <t>Melissa</t>
  </si>
  <si>
    <t>Acosta Rodriguez</t>
  </si>
  <si>
    <t>6/6/2014</t>
  </si>
  <si>
    <t>reinatejeda@yahoo.com</t>
  </si>
  <si>
    <t>Caroline</t>
  </si>
  <si>
    <t>Fennemore</t>
  </si>
  <si>
    <t>10/29/2014</t>
  </si>
  <si>
    <t>goalfenny@yahoo.com</t>
  </si>
  <si>
    <t>(239) 778-7899</t>
  </si>
  <si>
    <t>London</t>
  </si>
  <si>
    <t>Jean Louis</t>
  </si>
  <si>
    <t>4/10/2014</t>
  </si>
  <si>
    <t>sduffy0405@gmail.com</t>
  </si>
  <si>
    <t>(239) 986-1410</t>
  </si>
  <si>
    <t>Camryn</t>
  </si>
  <si>
    <t>Weissman</t>
  </si>
  <si>
    <t>1/6/2014</t>
  </si>
  <si>
    <t>nicole@nicolettacompany.com</t>
  </si>
  <si>
    <t>(239) 776-5858</t>
  </si>
  <si>
    <t>Ellie</t>
  </si>
  <si>
    <t>Polak</t>
  </si>
  <si>
    <t>11/26/2013</t>
  </si>
  <si>
    <t>joel@trulyhandyllc.com</t>
  </si>
  <si>
    <t>(239) 216-6663</t>
  </si>
  <si>
    <t>Azzurri Storm Girls — U-8 Roster</t>
  </si>
  <si>
    <t>COACHING STAFF</t>
  </si>
  <si>
    <t>Email</t>
  </si>
  <si>
    <t>Head Coach</t>
  </si>
  <si>
    <t>Azzurri Storm Girls — U-9 Roster</t>
  </si>
  <si>
    <t>Azzurri Storm Girls — U-10 Roster</t>
  </si>
  <si>
    <t>Azzurri Storm Girls — U-11 Roster</t>
  </si>
  <si>
    <t>Azzurri Storm Girls — U-12 Roster</t>
  </si>
  <si>
    <t>Azzurri Storm Girls — U-13 Roster</t>
  </si>
  <si>
    <t>Proration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</si>
</sst>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3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2E4053"/>
      <name val="Arial"/>
      <charset val="1"/>
    </font>
    <font>
      <sz val="11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B3A6B"/>
        <bgColor rgb="FF154360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EBF5FB"/>
      </patternFill>
    </fill>
    <fill>
      <patternFill patternType="solid">
        <fgColor rgb="FFD6EAF8"/>
        <bgColor rgb="FFD4E6F1"/>
      </patternFill>
    </fill>
    <fill>
      <patternFill patternType="solid">
        <fgColor rgb="FFD5DBDB"/>
        <bgColor rgb="FFD4E6F1"/>
      </patternFill>
    </fill>
    <fill>
      <patternFill patternType="solid">
        <fgColor rgb="FF1A5276"/>
        <bgColor rgb="FF154360"/>
      </patternFill>
    </fill>
    <fill>
      <patternFill patternType="solid">
        <fgColor rgb="FFD4E6F1"/>
        <bgColor rgb="FFD6EAF8"/>
      </patternFill>
    </fill>
    <fill>
      <patternFill patternType="solid">
        <fgColor rgb="FF154360"/>
        <bgColor rgb="FF1B3A6B"/>
      </patternFill>
    </fill>
    <fill>
      <patternFill patternType="solid">
        <fgColor rgb="FF0E6655"/>
        <bgColor rgb="FF1A5276"/>
      </patternFill>
    </fill>
    <fill>
      <patternFill patternType="solid">
        <fgColor rgb="FFD1F2EB"/>
        <bgColor rgb="FFD6EAF8"/>
      </patternFill>
    </fill>
    <fill>
      <patternFill patternType="solid">
        <fgColor rgb="FF6E2F8B"/>
        <bgColor rgb="FF993366"/>
      </patternFill>
    </fill>
    <fill>
      <patternFill patternType="solid">
        <fgColor rgb="FFE8DAEF"/>
        <bgColor rgb="FFD5DBDB"/>
      </patternFill>
    </fill>
    <fill>
      <patternFill patternType="solid">
        <fgColor rgb="FF922B21"/>
        <bgColor rgb="FF993366"/>
      </patternFill>
    </fill>
    <fill>
      <patternFill patternType="solid">
        <fgColor rgb="FFFADBD8"/>
        <bgColor rgb="FFE8DAEF"/>
      </patternFill>
    </fill>
    <fill>
      <patternFill patternType="solid">
        <fgColor rgb="FF2C3E50"/>
        <bgColor rgb="FF2E4053"/>
      </patternFill>
    </fill>
    <fill>
      <patternFill patternType="solid">
        <fgColor rgb="FFEBF5FB"/>
        <bgColor rgb="FFFFFFFF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5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12" borderId="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2" fillId="16" borderId="2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BBBBB"/>
      <rgbColor rgb="FF808080"/>
      <rgbColor rgb="FF9999FF"/>
      <rgbColor rgb="FF6E2F8B"/>
      <rgbColor rgb="FFEBF5FB"/>
      <rgbColor rgb="FFD1F2EB"/>
      <rgbColor rgb="FF660066"/>
      <rgbColor rgb="FFFF8080"/>
      <rgbColor rgb="FF1A5276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4E6F1"/>
      <rgbColor rgb="FFE8DAEF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154360"/>
      <rgbColor rgb="FF1A1A2E"/>
      <rgbColor rgb="FF922B21"/>
      <rgbColor rgb="FF993366"/>
      <rgbColor rgb="FF2E4053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6"/>
  <sheetViews>
    <sheetView showGridLines="0" tabSelected="1" zoomScaleNormal="100" workbookViewId="0">
      <pane xSplit="4" ySplit="1" topLeftCell="E54" activePane="bottomRight" state="frozen"/>
      <selection pane="topRight" activeCell="E1" sqref="E1"/>
      <selection pane="bottomLeft" activeCell="A2" sqref="A2"/>
      <selection pane="bottomRight" activeCell="P63" sqref="P63:P65"/>
    </sheetView>
  </sheetViews>
  <sheetFormatPr defaultColWidth="8.7109375" defaultRowHeight="15" x14ac:dyDescent="0.25"/>
  <cols>
    <col min="1" max="1" width="8" customWidth="1"/>
    <col min="2" max="2" width="5" customWidth="1"/>
    <col min="3" max="3" width="13" customWidth="1"/>
    <col min="4" max="4" width="20" customWidth="1"/>
    <col min="5" max="5" width="14" customWidth="1"/>
    <col min="6" max="6" width="40" customWidth="1"/>
    <col min="7" max="7" width="16" customWidth="1"/>
    <col min="8" max="8" width="10" customWidth="1"/>
    <col min="11" max="11" width="9.7109375" style="18" bestFit="1" customWidth="1"/>
    <col min="12" max="13" width="10.7109375" style="18" bestFit="1" customWidth="1"/>
    <col min="16" max="16" width="14.28515625" bestFit="1" customWidth="1"/>
  </cols>
  <sheetData>
    <row r="1" spans="1:13" ht="30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J1" s="20" t="s">
        <v>370</v>
      </c>
      <c r="K1" s="19">
        <v>50</v>
      </c>
      <c r="L1" s="19">
        <v>100</v>
      </c>
      <c r="M1" s="19">
        <v>150</v>
      </c>
    </row>
    <row r="2" spans="1:13" ht="18" customHeight="1" x14ac:dyDescent="0.2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13" ht="15.75" customHeight="1" x14ac:dyDescent="0.25">
      <c r="A3" s="25" t="s">
        <v>9</v>
      </c>
      <c r="B3" s="25"/>
      <c r="C3" s="25"/>
      <c r="D3" s="25"/>
      <c r="E3" s="25"/>
      <c r="F3" s="25"/>
      <c r="G3" s="25"/>
      <c r="H3" s="25"/>
    </row>
    <row r="4" spans="1:13" ht="15" customHeight="1" x14ac:dyDescent="0.25">
      <c r="A4" s="3" t="s">
        <v>9</v>
      </c>
      <c r="B4" s="3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/>
      <c r="H4" s="4" t="s">
        <v>14</v>
      </c>
      <c r="K4" s="21" t="str">
        <f t="shared" ref="K4:K27" si="0">C4&amp;" "&amp;D4</f>
        <v>Grace Hudson</v>
      </c>
    </row>
    <row r="5" spans="1:13" ht="15" customHeight="1" x14ac:dyDescent="0.25">
      <c r="A5" s="5" t="s">
        <v>9</v>
      </c>
      <c r="B5" s="5">
        <v>2</v>
      </c>
      <c r="C5" s="6" t="s">
        <v>15</v>
      </c>
      <c r="D5" s="6" t="s">
        <v>16</v>
      </c>
      <c r="E5" s="6" t="s">
        <v>17</v>
      </c>
      <c r="F5" s="6" t="s">
        <v>18</v>
      </c>
      <c r="G5" s="6"/>
      <c r="H5" s="6" t="s">
        <v>14</v>
      </c>
      <c r="K5" s="21" t="str">
        <f t="shared" si="0"/>
        <v>Savannah Allard</v>
      </c>
    </row>
    <row r="6" spans="1:13" ht="15" customHeight="1" x14ac:dyDescent="0.25">
      <c r="A6" s="3" t="s">
        <v>9</v>
      </c>
      <c r="B6" s="3">
        <v>3</v>
      </c>
      <c r="C6" s="4" t="s">
        <v>19</v>
      </c>
      <c r="D6" s="4" t="s">
        <v>20</v>
      </c>
      <c r="E6" s="4" t="s">
        <v>21</v>
      </c>
      <c r="F6" s="4" t="s">
        <v>22</v>
      </c>
      <c r="G6" s="4"/>
      <c r="H6" s="4" t="s">
        <v>14</v>
      </c>
      <c r="K6" s="21" t="str">
        <f t="shared" si="0"/>
        <v>Saylor Singletary</v>
      </c>
    </row>
    <row r="7" spans="1:13" ht="15" customHeight="1" x14ac:dyDescent="0.25">
      <c r="A7" s="5" t="s">
        <v>9</v>
      </c>
      <c r="B7" s="5">
        <v>4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6" t="s">
        <v>14</v>
      </c>
      <c r="K7" s="21" t="str">
        <f t="shared" si="0"/>
        <v>Norah Smith</v>
      </c>
    </row>
    <row r="8" spans="1:13" ht="15" customHeight="1" x14ac:dyDescent="0.25">
      <c r="A8" s="3" t="s">
        <v>9</v>
      </c>
      <c r="B8" s="3">
        <v>5</v>
      </c>
      <c r="C8" s="4" t="s">
        <v>28</v>
      </c>
      <c r="D8" s="4" t="s">
        <v>29</v>
      </c>
      <c r="E8" s="4" t="s">
        <v>30</v>
      </c>
      <c r="F8" s="4" t="s">
        <v>31</v>
      </c>
      <c r="G8" s="4"/>
      <c r="H8" s="4" t="s">
        <v>14</v>
      </c>
      <c r="K8" s="21" t="str">
        <f t="shared" si="0"/>
        <v>Mollie Bucci</v>
      </c>
    </row>
    <row r="9" spans="1:13" ht="15" customHeight="1" x14ac:dyDescent="0.25">
      <c r="A9" s="5" t="s">
        <v>9</v>
      </c>
      <c r="B9" s="5">
        <v>6</v>
      </c>
      <c r="C9" s="6" t="s">
        <v>32</v>
      </c>
      <c r="D9" s="6" t="s">
        <v>33</v>
      </c>
      <c r="E9" s="6" t="s">
        <v>34</v>
      </c>
      <c r="F9" s="6" t="s">
        <v>35</v>
      </c>
      <c r="G9" s="6" t="s">
        <v>36</v>
      </c>
      <c r="H9" s="6" t="s">
        <v>14</v>
      </c>
      <c r="K9" s="21" t="str">
        <f t="shared" si="0"/>
        <v>Elaina Maker</v>
      </c>
    </row>
    <row r="10" spans="1:13" ht="15" customHeight="1" x14ac:dyDescent="0.25">
      <c r="A10" s="3" t="s">
        <v>9</v>
      </c>
      <c r="B10" s="3">
        <v>7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14</v>
      </c>
      <c r="K10" s="21" t="str">
        <f t="shared" si="0"/>
        <v>Freya Hulme</v>
      </c>
    </row>
    <row r="11" spans="1:13" ht="15" customHeight="1" x14ac:dyDescent="0.25">
      <c r="A11" s="5" t="s">
        <v>9</v>
      </c>
      <c r="B11" s="5">
        <v>8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14</v>
      </c>
      <c r="K11" s="21" t="str">
        <f t="shared" si="0"/>
        <v>Maia Green</v>
      </c>
    </row>
    <row r="12" spans="1:13" ht="15" customHeight="1" x14ac:dyDescent="0.25">
      <c r="A12" s="3" t="s">
        <v>9</v>
      </c>
      <c r="B12" s="3">
        <v>9</v>
      </c>
      <c r="C12" s="4" t="s">
        <v>47</v>
      </c>
      <c r="D12" s="4" t="s">
        <v>48</v>
      </c>
      <c r="E12" s="4" t="s">
        <v>49</v>
      </c>
      <c r="F12" s="4" t="s">
        <v>50</v>
      </c>
      <c r="G12" s="4"/>
      <c r="H12" s="4" t="s">
        <v>14</v>
      </c>
      <c r="K12" s="21" t="str">
        <f t="shared" si="0"/>
        <v>Reese Heaps</v>
      </c>
    </row>
    <row r="13" spans="1:13" ht="15" customHeight="1" x14ac:dyDescent="0.25">
      <c r="A13" s="5" t="s">
        <v>9</v>
      </c>
      <c r="B13" s="5">
        <v>10</v>
      </c>
      <c r="C13" s="6" t="s">
        <v>51</v>
      </c>
      <c r="D13" s="6" t="s">
        <v>52</v>
      </c>
      <c r="E13" s="6" t="s">
        <v>53</v>
      </c>
      <c r="F13" s="6" t="s">
        <v>54</v>
      </c>
      <c r="G13" s="6"/>
      <c r="H13" s="6" t="s">
        <v>14</v>
      </c>
      <c r="K13" s="21" t="str">
        <f t="shared" si="0"/>
        <v>Addilynn Correia</v>
      </c>
    </row>
    <row r="14" spans="1:13" ht="15" customHeight="1" x14ac:dyDescent="0.25">
      <c r="A14" s="7" t="s">
        <v>9</v>
      </c>
      <c r="B14" s="7"/>
      <c r="C14" s="8" t="s">
        <v>55</v>
      </c>
      <c r="D14" s="8" t="s">
        <v>20</v>
      </c>
      <c r="E14" s="8"/>
      <c r="F14" s="8" t="s">
        <v>56</v>
      </c>
      <c r="G14" s="8" t="s">
        <v>57</v>
      </c>
      <c r="H14" s="8" t="s">
        <v>58</v>
      </c>
      <c r="I14">
        <f>COUNTA(A4:A13)</f>
        <v>10</v>
      </c>
      <c r="K14" s="21" t="str">
        <f t="shared" si="0"/>
        <v>Chance Singletary</v>
      </c>
    </row>
    <row r="15" spans="1:13" ht="6" customHeight="1" x14ac:dyDescent="0.25">
      <c r="K15" s="21" t="str">
        <f t="shared" si="0"/>
        <v xml:space="preserve"> </v>
      </c>
    </row>
    <row r="16" spans="1:13" ht="15.75" customHeight="1" x14ac:dyDescent="0.25">
      <c r="A16" s="26" t="s">
        <v>59</v>
      </c>
      <c r="B16" s="26"/>
      <c r="C16" s="26"/>
      <c r="D16" s="26"/>
      <c r="E16" s="26"/>
      <c r="F16" s="26"/>
      <c r="G16" s="26"/>
      <c r="H16" s="26"/>
      <c r="K16" s="21" t="str">
        <f t="shared" si="0"/>
        <v xml:space="preserve"> </v>
      </c>
    </row>
    <row r="17" spans="1:11" ht="15" customHeight="1" x14ac:dyDescent="0.25">
      <c r="A17" s="3" t="s">
        <v>59</v>
      </c>
      <c r="B17" s="3">
        <v>1</v>
      </c>
      <c r="C17" s="4" t="s">
        <v>60</v>
      </c>
      <c r="D17" s="4" t="s">
        <v>61</v>
      </c>
      <c r="E17" s="4" t="s">
        <v>62</v>
      </c>
      <c r="F17" s="4" t="s">
        <v>63</v>
      </c>
      <c r="G17" s="4" t="s">
        <v>64</v>
      </c>
      <c r="H17" s="4" t="s">
        <v>14</v>
      </c>
      <c r="K17" s="21" t="str">
        <f t="shared" si="0"/>
        <v>Amelia Skuggedal</v>
      </c>
    </row>
    <row r="18" spans="1:11" ht="15" customHeight="1" x14ac:dyDescent="0.25">
      <c r="A18" s="9" t="s">
        <v>59</v>
      </c>
      <c r="B18" s="9">
        <v>2</v>
      </c>
      <c r="C18" s="10" t="s">
        <v>65</v>
      </c>
      <c r="D18" s="10" t="s">
        <v>66</v>
      </c>
      <c r="E18" s="10" t="s">
        <v>67</v>
      </c>
      <c r="F18" s="10" t="s">
        <v>68</v>
      </c>
      <c r="G18" s="10" t="s">
        <v>69</v>
      </c>
      <c r="H18" s="10" t="s">
        <v>14</v>
      </c>
      <c r="K18" s="21" t="str">
        <f t="shared" si="0"/>
        <v>Brooklyn Paciello</v>
      </c>
    </row>
    <row r="19" spans="1:11" ht="15" customHeight="1" x14ac:dyDescent="0.25">
      <c r="A19" s="3" t="s">
        <v>59</v>
      </c>
      <c r="B19" s="3">
        <v>3</v>
      </c>
      <c r="C19" s="4" t="s">
        <v>70</v>
      </c>
      <c r="D19" s="4" t="s">
        <v>71</v>
      </c>
      <c r="E19" s="4" t="s">
        <v>72</v>
      </c>
      <c r="F19" s="4" t="s">
        <v>73</v>
      </c>
      <c r="G19" s="4" t="s">
        <v>74</v>
      </c>
      <c r="H19" s="4" t="s">
        <v>14</v>
      </c>
      <c r="K19" s="21" t="str">
        <f t="shared" si="0"/>
        <v>Alaia Ebrahimi</v>
      </c>
    </row>
    <row r="20" spans="1:11" ht="15" customHeight="1" x14ac:dyDescent="0.25">
      <c r="A20" s="9" t="s">
        <v>59</v>
      </c>
      <c r="B20" s="9">
        <v>4</v>
      </c>
      <c r="C20" s="10" t="s">
        <v>75</v>
      </c>
      <c r="D20" s="10" t="s">
        <v>76</v>
      </c>
      <c r="E20" s="10" t="s">
        <v>77</v>
      </c>
      <c r="F20" s="10" t="s">
        <v>78</v>
      </c>
      <c r="G20" s="10" t="s">
        <v>79</v>
      </c>
      <c r="H20" s="10" t="s">
        <v>14</v>
      </c>
      <c r="K20" s="21" t="str">
        <f t="shared" si="0"/>
        <v>Olive Lewis</v>
      </c>
    </row>
    <row r="21" spans="1:11" ht="15" customHeight="1" x14ac:dyDescent="0.25">
      <c r="A21" s="3" t="s">
        <v>59</v>
      </c>
      <c r="B21" s="3">
        <v>5</v>
      </c>
      <c r="C21" s="4" t="s">
        <v>80</v>
      </c>
      <c r="D21" s="4" t="s">
        <v>81</v>
      </c>
      <c r="E21" s="4" t="s">
        <v>82</v>
      </c>
      <c r="F21" s="4" t="s">
        <v>83</v>
      </c>
      <c r="G21" s="4" t="s">
        <v>84</v>
      </c>
      <c r="H21" s="4" t="s">
        <v>14</v>
      </c>
      <c r="K21" s="21" t="str">
        <f t="shared" si="0"/>
        <v>Josephine Singer</v>
      </c>
    </row>
    <row r="22" spans="1:11" ht="15" customHeight="1" x14ac:dyDescent="0.25">
      <c r="A22" s="9" t="s">
        <v>59</v>
      </c>
      <c r="B22" s="9">
        <v>6</v>
      </c>
      <c r="C22" s="10" t="s">
        <v>10</v>
      </c>
      <c r="D22" s="10" t="s">
        <v>85</v>
      </c>
      <c r="E22" s="10" t="s">
        <v>86</v>
      </c>
      <c r="F22" s="10" t="s">
        <v>87</v>
      </c>
      <c r="G22" s="10" t="s">
        <v>88</v>
      </c>
      <c r="H22" s="10" t="s">
        <v>14</v>
      </c>
      <c r="K22" s="21" t="str">
        <f t="shared" si="0"/>
        <v>Grace Bertsch</v>
      </c>
    </row>
    <row r="23" spans="1:11" ht="15" customHeight="1" x14ac:dyDescent="0.25">
      <c r="A23" s="3" t="s">
        <v>59</v>
      </c>
      <c r="B23" s="3">
        <v>7</v>
      </c>
      <c r="C23" s="4" t="s">
        <v>89</v>
      </c>
      <c r="D23" s="4" t="s">
        <v>90</v>
      </c>
      <c r="E23" s="4" t="s">
        <v>91</v>
      </c>
      <c r="F23" s="4" t="s">
        <v>92</v>
      </c>
      <c r="G23" s="4" t="s">
        <v>93</v>
      </c>
      <c r="H23" s="4" t="s">
        <v>14</v>
      </c>
      <c r="K23" s="21" t="str">
        <f t="shared" si="0"/>
        <v>Ashlyn Edwards</v>
      </c>
    </row>
    <row r="24" spans="1:11" ht="15" customHeight="1" x14ac:dyDescent="0.25">
      <c r="A24" s="9" t="s">
        <v>59</v>
      </c>
      <c r="B24" s="9">
        <v>8</v>
      </c>
      <c r="C24" s="10" t="s">
        <v>94</v>
      </c>
      <c r="D24" s="10" t="s">
        <v>95</v>
      </c>
      <c r="E24" s="10" t="s">
        <v>96</v>
      </c>
      <c r="F24" s="10" t="s">
        <v>97</v>
      </c>
      <c r="G24" s="10" t="s">
        <v>98</v>
      </c>
      <c r="H24" s="10" t="s">
        <v>14</v>
      </c>
      <c r="K24" s="21" t="str">
        <f t="shared" si="0"/>
        <v>Lyla Pickard</v>
      </c>
    </row>
    <row r="25" spans="1:11" ht="15" customHeight="1" x14ac:dyDescent="0.25">
      <c r="A25" s="3" t="s">
        <v>59</v>
      </c>
      <c r="B25" s="3">
        <v>9</v>
      </c>
      <c r="C25" s="4" t="s">
        <v>99</v>
      </c>
      <c r="D25" s="4" t="s">
        <v>100</v>
      </c>
      <c r="E25" s="4" t="s">
        <v>101</v>
      </c>
      <c r="F25" s="4" t="s">
        <v>102</v>
      </c>
      <c r="G25" s="4" t="s">
        <v>103</v>
      </c>
      <c r="H25" s="4" t="s">
        <v>14</v>
      </c>
      <c r="K25" s="21" t="str">
        <f t="shared" si="0"/>
        <v>Sadie Lutgert</v>
      </c>
    </row>
    <row r="26" spans="1:11" ht="15" customHeight="1" x14ac:dyDescent="0.25">
      <c r="A26" s="9" t="s">
        <v>59</v>
      </c>
      <c r="B26" s="9">
        <v>10</v>
      </c>
      <c r="C26" s="10" t="s">
        <v>104</v>
      </c>
      <c r="D26" s="10" t="s">
        <v>105</v>
      </c>
      <c r="E26" s="10" t="s">
        <v>106</v>
      </c>
      <c r="F26" s="10" t="s">
        <v>107</v>
      </c>
      <c r="G26" s="10" t="s">
        <v>108</v>
      </c>
      <c r="H26" s="10" t="s">
        <v>14</v>
      </c>
      <c r="K26" s="21" t="str">
        <f t="shared" si="0"/>
        <v>Charlotte Geraghty</v>
      </c>
    </row>
    <row r="27" spans="1:11" ht="15" customHeight="1" x14ac:dyDescent="0.25">
      <c r="A27" s="3" t="s">
        <v>59</v>
      </c>
      <c r="B27" s="3">
        <v>11</v>
      </c>
      <c r="C27" s="4" t="s">
        <v>109</v>
      </c>
      <c r="D27" s="4" t="s">
        <v>110</v>
      </c>
      <c r="E27" s="4" t="s">
        <v>111</v>
      </c>
      <c r="F27" s="4" t="s">
        <v>112</v>
      </c>
      <c r="G27" s="4" t="s">
        <v>113</v>
      </c>
      <c r="H27" s="4" t="s">
        <v>14</v>
      </c>
      <c r="I27">
        <f>COUNTA(A17:A27)</f>
        <v>11</v>
      </c>
      <c r="K27" s="21" t="str">
        <f t="shared" si="0"/>
        <v>Hayley Taras</v>
      </c>
    </row>
    <row r="28" spans="1:11" ht="15" customHeight="1" x14ac:dyDescent="0.25">
      <c r="A28" s="7" t="s">
        <v>59</v>
      </c>
      <c r="B28" s="7"/>
      <c r="C28" s="8" t="s">
        <v>114</v>
      </c>
      <c r="D28" s="8" t="s">
        <v>76</v>
      </c>
      <c r="E28" s="8"/>
      <c r="F28" s="8" t="s">
        <v>115</v>
      </c>
      <c r="G28" s="8" t="s">
        <v>79</v>
      </c>
      <c r="H28" s="8" t="s">
        <v>58</v>
      </c>
    </row>
    <row r="29" spans="1:11" ht="15" customHeight="1" x14ac:dyDescent="0.25">
      <c r="A29" s="7" t="s">
        <v>59</v>
      </c>
      <c r="B29" s="7"/>
      <c r="C29" s="8" t="s">
        <v>116</v>
      </c>
      <c r="D29" s="8" t="s">
        <v>71</v>
      </c>
      <c r="E29" s="8"/>
      <c r="F29" s="8" t="s">
        <v>117</v>
      </c>
      <c r="G29" s="8" t="s">
        <v>74</v>
      </c>
      <c r="H29" s="8" t="s">
        <v>58</v>
      </c>
    </row>
    <row r="30" spans="1:11" ht="6" customHeight="1" x14ac:dyDescent="0.25"/>
    <row r="31" spans="1:11" ht="15.75" customHeight="1" x14ac:dyDescent="0.25">
      <c r="A31" s="27" t="s">
        <v>118</v>
      </c>
      <c r="B31" s="27"/>
      <c r="C31" s="27"/>
      <c r="D31" s="27"/>
      <c r="E31" s="27"/>
      <c r="F31" s="27"/>
      <c r="G31" s="27"/>
      <c r="H31" s="27"/>
    </row>
    <row r="32" spans="1:11" ht="15" customHeight="1" x14ac:dyDescent="0.25">
      <c r="A32" s="3" t="s">
        <v>118</v>
      </c>
      <c r="B32" s="3">
        <v>1</v>
      </c>
      <c r="C32" s="4" t="s">
        <v>119</v>
      </c>
      <c r="D32" s="4" t="s">
        <v>20</v>
      </c>
      <c r="E32" s="4" t="s">
        <v>120</v>
      </c>
      <c r="F32" s="4" t="s">
        <v>56</v>
      </c>
      <c r="G32" s="4"/>
      <c r="H32" s="4" t="s">
        <v>14</v>
      </c>
      <c r="K32" s="21" t="str">
        <f t="shared" ref="K32:K43" si="1">C32&amp;" "&amp;D32</f>
        <v>Emerson Singletary</v>
      </c>
    </row>
    <row r="33" spans="1:11" ht="15" customHeight="1" x14ac:dyDescent="0.25">
      <c r="A33" s="5" t="s">
        <v>118</v>
      </c>
      <c r="B33" s="5">
        <v>2</v>
      </c>
      <c r="C33" s="6" t="s">
        <v>121</v>
      </c>
      <c r="D33" s="6" t="s">
        <v>122</v>
      </c>
      <c r="E33" s="6" t="s">
        <v>123</v>
      </c>
      <c r="F33" s="6" t="s">
        <v>124</v>
      </c>
      <c r="G33" s="6" t="s">
        <v>125</v>
      </c>
      <c r="H33" s="6" t="s">
        <v>14</v>
      </c>
      <c r="K33" s="21" t="str">
        <f t="shared" si="1"/>
        <v>Sophia May</v>
      </c>
    </row>
    <row r="34" spans="1:11" ht="15" customHeight="1" x14ac:dyDescent="0.25">
      <c r="A34" s="3" t="s">
        <v>118</v>
      </c>
      <c r="B34" s="3">
        <v>3</v>
      </c>
      <c r="C34" s="4" t="s">
        <v>126</v>
      </c>
      <c r="D34" s="4" t="s">
        <v>127</v>
      </c>
      <c r="E34" s="4" t="s">
        <v>128</v>
      </c>
      <c r="F34" s="4" t="s">
        <v>129</v>
      </c>
      <c r="G34" s="4"/>
      <c r="H34" s="4" t="s">
        <v>14</v>
      </c>
      <c r="K34" s="21" t="str">
        <f t="shared" si="1"/>
        <v>Mikaela Prieto</v>
      </c>
    </row>
    <row r="35" spans="1:11" ht="15" customHeight="1" x14ac:dyDescent="0.25">
      <c r="A35" s="5" t="s">
        <v>118</v>
      </c>
      <c r="B35" s="5">
        <v>4</v>
      </c>
      <c r="C35" s="6" t="s">
        <v>130</v>
      </c>
      <c r="D35" s="6" t="s">
        <v>131</v>
      </c>
      <c r="E35" s="6" t="s">
        <v>132</v>
      </c>
      <c r="F35" s="6" t="s">
        <v>133</v>
      </c>
      <c r="G35" s="6"/>
      <c r="H35" s="6" t="s">
        <v>14</v>
      </c>
      <c r="K35" s="21" t="str">
        <f t="shared" si="1"/>
        <v>Madeline Palumbo</v>
      </c>
    </row>
    <row r="36" spans="1:11" ht="15" customHeight="1" x14ac:dyDescent="0.25">
      <c r="A36" s="3" t="s">
        <v>118</v>
      </c>
      <c r="B36" s="3">
        <v>5</v>
      </c>
      <c r="C36" s="4" t="s">
        <v>134</v>
      </c>
      <c r="D36" s="4" t="s">
        <v>52</v>
      </c>
      <c r="E36" s="4" t="s">
        <v>135</v>
      </c>
      <c r="F36" s="4" t="s">
        <v>54</v>
      </c>
      <c r="G36" s="4"/>
      <c r="H36" s="4" t="s">
        <v>14</v>
      </c>
      <c r="K36" s="21" t="str">
        <f t="shared" si="1"/>
        <v>Kora Correia</v>
      </c>
    </row>
    <row r="37" spans="1:11" ht="15" customHeight="1" x14ac:dyDescent="0.25">
      <c r="A37" s="5" t="s">
        <v>118</v>
      </c>
      <c r="B37" s="5">
        <v>6</v>
      </c>
      <c r="C37" s="6" t="s">
        <v>136</v>
      </c>
      <c r="D37" s="6" t="s">
        <v>137</v>
      </c>
      <c r="E37" s="6" t="s">
        <v>138</v>
      </c>
      <c r="F37" s="6" t="s">
        <v>139</v>
      </c>
      <c r="G37" s="6"/>
      <c r="H37" s="6" t="s">
        <v>14</v>
      </c>
      <c r="K37" s="21" t="str">
        <f t="shared" si="1"/>
        <v>Olivia Cacciatori</v>
      </c>
    </row>
    <row r="38" spans="1:11" ht="15" customHeight="1" x14ac:dyDescent="0.25">
      <c r="A38" s="3" t="s">
        <v>118</v>
      </c>
      <c r="B38" s="3">
        <v>7</v>
      </c>
      <c r="C38" s="4" t="s">
        <v>140</v>
      </c>
      <c r="D38" s="4" t="s">
        <v>141</v>
      </c>
      <c r="E38" s="4" t="s">
        <v>142</v>
      </c>
      <c r="F38" s="4" t="s">
        <v>143</v>
      </c>
      <c r="G38" s="4"/>
      <c r="H38" s="4" t="s">
        <v>14</v>
      </c>
      <c r="K38" s="21" t="str">
        <f t="shared" si="1"/>
        <v>Kodi Barnaby</v>
      </c>
    </row>
    <row r="39" spans="1:11" ht="15" customHeight="1" x14ac:dyDescent="0.25">
      <c r="A39" s="5" t="s">
        <v>118</v>
      </c>
      <c r="B39" s="5">
        <v>8</v>
      </c>
      <c r="C39" s="6" t="s">
        <v>144</v>
      </c>
      <c r="D39" s="6" t="s">
        <v>145</v>
      </c>
      <c r="E39" s="6" t="s">
        <v>146</v>
      </c>
      <c r="F39" s="6" t="s">
        <v>147</v>
      </c>
      <c r="G39" s="6"/>
      <c r="H39" s="6" t="s">
        <v>14</v>
      </c>
      <c r="K39" s="21" t="str">
        <f t="shared" si="1"/>
        <v>Brinley Basho</v>
      </c>
    </row>
    <row r="40" spans="1:11" ht="15" customHeight="1" x14ac:dyDescent="0.25">
      <c r="A40" s="3" t="s">
        <v>118</v>
      </c>
      <c r="B40" s="3">
        <v>9</v>
      </c>
      <c r="C40" s="4" t="s">
        <v>148</v>
      </c>
      <c r="D40" s="4" t="s">
        <v>149</v>
      </c>
      <c r="E40" s="4" t="s">
        <v>150</v>
      </c>
      <c r="F40" s="4" t="s">
        <v>151</v>
      </c>
      <c r="G40" s="4"/>
      <c r="H40" s="4" t="s">
        <v>14</v>
      </c>
      <c r="K40" s="21" t="str">
        <f t="shared" si="1"/>
        <v>Abigail Williams</v>
      </c>
    </row>
    <row r="41" spans="1:11" ht="15" customHeight="1" x14ac:dyDescent="0.25">
      <c r="A41" s="5" t="s">
        <v>118</v>
      </c>
      <c r="B41" s="5">
        <v>10</v>
      </c>
      <c r="C41" s="6" t="s">
        <v>152</v>
      </c>
      <c r="D41" s="6" t="s">
        <v>153</v>
      </c>
      <c r="E41" s="6" t="s">
        <v>154</v>
      </c>
      <c r="F41" s="6" t="s">
        <v>155</v>
      </c>
      <c r="G41" s="6" t="s">
        <v>156</v>
      </c>
      <c r="H41" s="6" t="s">
        <v>14</v>
      </c>
      <c r="K41" s="21" t="str">
        <f t="shared" si="1"/>
        <v>Crue Zinser</v>
      </c>
    </row>
    <row r="42" spans="1:11" ht="15" customHeight="1" x14ac:dyDescent="0.25">
      <c r="A42" s="3" t="s">
        <v>118</v>
      </c>
      <c r="B42" s="3">
        <v>11</v>
      </c>
      <c r="C42" s="4" t="s">
        <v>157</v>
      </c>
      <c r="D42" s="4" t="s">
        <v>158</v>
      </c>
      <c r="E42" s="4"/>
      <c r="F42" s="4" t="s">
        <v>159</v>
      </c>
      <c r="G42" s="4"/>
      <c r="H42" s="4" t="s">
        <v>14</v>
      </c>
      <c r="K42" s="21" t="str">
        <f t="shared" si="1"/>
        <v>Yardley Thompson</v>
      </c>
    </row>
    <row r="43" spans="1:11" ht="15" customHeight="1" x14ac:dyDescent="0.25">
      <c r="A43" s="5" t="s">
        <v>118</v>
      </c>
      <c r="B43" s="5">
        <v>12</v>
      </c>
      <c r="C43" s="6" t="s">
        <v>160</v>
      </c>
      <c r="D43" s="6" t="s">
        <v>161</v>
      </c>
      <c r="E43" s="6"/>
      <c r="F43" s="6" t="s">
        <v>162</v>
      </c>
      <c r="G43" s="6"/>
      <c r="H43" s="6" t="s">
        <v>14</v>
      </c>
      <c r="I43">
        <f>COUNTA(A32:A43)</f>
        <v>12</v>
      </c>
      <c r="K43" s="21" t="str">
        <f t="shared" si="1"/>
        <v>Stella Tilley</v>
      </c>
    </row>
    <row r="44" spans="1:11" ht="15" customHeight="1" x14ac:dyDescent="0.25">
      <c r="A44" s="7" t="s">
        <v>118</v>
      </c>
      <c r="B44" s="7"/>
      <c r="C44" s="8" t="s">
        <v>163</v>
      </c>
      <c r="D44" s="8" t="s">
        <v>164</v>
      </c>
      <c r="E44" s="8"/>
      <c r="F44" s="8" t="s">
        <v>165</v>
      </c>
      <c r="G44" s="8" t="s">
        <v>166</v>
      </c>
      <c r="H44" s="8" t="s">
        <v>58</v>
      </c>
    </row>
    <row r="45" spans="1:11" ht="6" customHeight="1" x14ac:dyDescent="0.25"/>
    <row r="46" spans="1:11" ht="15.75" customHeight="1" x14ac:dyDescent="0.25">
      <c r="A46" s="28" t="s">
        <v>167</v>
      </c>
      <c r="B46" s="28"/>
      <c r="C46" s="28"/>
      <c r="D46" s="28"/>
      <c r="E46" s="28"/>
      <c r="F46" s="28"/>
      <c r="G46" s="28"/>
      <c r="H46" s="28"/>
    </row>
    <row r="47" spans="1:11" ht="15" customHeight="1" x14ac:dyDescent="0.25">
      <c r="A47" s="3" t="s">
        <v>167</v>
      </c>
      <c r="B47" s="3">
        <v>1</v>
      </c>
      <c r="C47" s="4" t="s">
        <v>168</v>
      </c>
      <c r="D47" s="4" t="s">
        <v>169</v>
      </c>
      <c r="E47" s="4" t="s">
        <v>170</v>
      </c>
      <c r="F47" s="4" t="s">
        <v>171</v>
      </c>
      <c r="G47" s="4" t="s">
        <v>172</v>
      </c>
      <c r="H47" s="4" t="s">
        <v>14</v>
      </c>
      <c r="K47" s="21" t="str">
        <f>C47&amp;" "&amp;D47</f>
        <v>Ellianah Mawby</v>
      </c>
    </row>
    <row r="48" spans="1:11" ht="15" customHeight="1" x14ac:dyDescent="0.25">
      <c r="A48" s="11" t="s">
        <v>167</v>
      </c>
      <c r="B48" s="11">
        <v>2</v>
      </c>
      <c r="C48" s="12" t="s">
        <v>173</v>
      </c>
      <c r="D48" s="12" t="s">
        <v>174</v>
      </c>
      <c r="E48" s="12" t="s">
        <v>175</v>
      </c>
      <c r="F48" s="12" t="s">
        <v>176</v>
      </c>
      <c r="G48" s="12" t="s">
        <v>177</v>
      </c>
      <c r="H48" s="12" t="s">
        <v>14</v>
      </c>
      <c r="K48" s="21" t="str">
        <f t="shared" ref="K48:K59" si="2">C48&amp;" "&amp;D48</f>
        <v>Aria Parker</v>
      </c>
    </row>
    <row r="49" spans="1:16" ht="15" customHeight="1" x14ac:dyDescent="0.25">
      <c r="A49" s="3" t="s">
        <v>167</v>
      </c>
      <c r="B49" s="3">
        <v>3</v>
      </c>
      <c r="C49" s="4" t="s">
        <v>60</v>
      </c>
      <c r="D49" s="4" t="s">
        <v>178</v>
      </c>
      <c r="E49" s="4" t="s">
        <v>179</v>
      </c>
      <c r="F49" s="4" t="s">
        <v>180</v>
      </c>
      <c r="G49" s="4" t="s">
        <v>181</v>
      </c>
      <c r="H49" s="4" t="s">
        <v>14</v>
      </c>
      <c r="K49" s="21" t="str">
        <f t="shared" si="2"/>
        <v>Amelia Moody</v>
      </c>
    </row>
    <row r="50" spans="1:16" ht="15" customHeight="1" x14ac:dyDescent="0.25">
      <c r="A50" s="11" t="s">
        <v>167</v>
      </c>
      <c r="B50" s="11">
        <v>4</v>
      </c>
      <c r="C50" s="12" t="s">
        <v>182</v>
      </c>
      <c r="D50" s="12" t="s">
        <v>183</v>
      </c>
      <c r="E50" s="12" t="s">
        <v>184</v>
      </c>
      <c r="F50" s="12" t="s">
        <v>185</v>
      </c>
      <c r="G50" s="12" t="s">
        <v>186</v>
      </c>
      <c r="H50" s="12" t="s">
        <v>14</v>
      </c>
      <c r="K50" s="21" t="str">
        <f t="shared" si="2"/>
        <v>Mia Moore</v>
      </c>
    </row>
    <row r="51" spans="1:16" ht="15" customHeight="1" x14ac:dyDescent="0.25">
      <c r="A51" s="3" t="s">
        <v>167</v>
      </c>
      <c r="B51" s="3">
        <v>5</v>
      </c>
      <c r="C51" s="4" t="s">
        <v>187</v>
      </c>
      <c r="D51" s="4" t="s">
        <v>188</v>
      </c>
      <c r="E51" s="4" t="s">
        <v>189</v>
      </c>
      <c r="F51" s="4" t="s">
        <v>190</v>
      </c>
      <c r="G51" s="4" t="s">
        <v>191</v>
      </c>
      <c r="H51" s="4" t="s">
        <v>14</v>
      </c>
      <c r="K51" s="21" t="str">
        <f t="shared" si="2"/>
        <v>Annika Helmbrecht</v>
      </c>
    </row>
    <row r="52" spans="1:16" ht="15" customHeight="1" x14ac:dyDescent="0.25">
      <c r="A52" s="11" t="s">
        <v>167</v>
      </c>
      <c r="B52" s="11">
        <v>6</v>
      </c>
      <c r="C52" s="12" t="s">
        <v>192</v>
      </c>
      <c r="D52" s="12" t="s">
        <v>193</v>
      </c>
      <c r="E52" s="12" t="s">
        <v>194</v>
      </c>
      <c r="F52" s="12" t="s">
        <v>195</v>
      </c>
      <c r="G52" s="12" t="s">
        <v>196</v>
      </c>
      <c r="H52" s="12" t="s">
        <v>14</v>
      </c>
      <c r="K52" s="21" t="str">
        <f t="shared" si="2"/>
        <v>Gracie Freeman</v>
      </c>
    </row>
    <row r="53" spans="1:16" ht="15" customHeight="1" x14ac:dyDescent="0.25">
      <c r="A53" s="3" t="s">
        <v>167</v>
      </c>
      <c r="B53" s="3">
        <v>7</v>
      </c>
      <c r="C53" s="4" t="s">
        <v>197</v>
      </c>
      <c r="D53" s="4" t="s">
        <v>198</v>
      </c>
      <c r="E53" s="4" t="s">
        <v>199</v>
      </c>
      <c r="F53" s="4" t="s">
        <v>200</v>
      </c>
      <c r="G53" s="4" t="s">
        <v>201</v>
      </c>
      <c r="H53" s="4" t="s">
        <v>14</v>
      </c>
      <c r="K53" s="21" t="str">
        <f t="shared" si="2"/>
        <v>Audrey Haughey</v>
      </c>
    </row>
    <row r="54" spans="1:16" ht="15" customHeight="1" x14ac:dyDescent="0.25">
      <c r="A54" s="11" t="s">
        <v>167</v>
      </c>
      <c r="B54" s="11">
        <v>8</v>
      </c>
      <c r="C54" s="12" t="s">
        <v>202</v>
      </c>
      <c r="D54" s="12" t="s">
        <v>203</v>
      </c>
      <c r="E54" s="12" t="s">
        <v>204</v>
      </c>
      <c r="F54" s="12" t="s">
        <v>205</v>
      </c>
      <c r="G54" s="12" t="s">
        <v>206</v>
      </c>
      <c r="H54" s="12" t="s">
        <v>14</v>
      </c>
      <c r="K54" s="21" t="str">
        <f t="shared" si="2"/>
        <v>Mikayla Harris</v>
      </c>
    </row>
    <row r="55" spans="1:16" ht="15" customHeight="1" x14ac:dyDescent="0.25">
      <c r="A55" s="3" t="s">
        <v>167</v>
      </c>
      <c r="B55" s="3">
        <v>9</v>
      </c>
      <c r="C55" s="4" t="s">
        <v>207</v>
      </c>
      <c r="D55" s="4" t="s">
        <v>208</v>
      </c>
      <c r="E55" s="4" t="s">
        <v>209</v>
      </c>
      <c r="F55" s="4" t="s">
        <v>210</v>
      </c>
      <c r="G55" s="4" t="s">
        <v>211</v>
      </c>
      <c r="H55" s="4" t="s">
        <v>14</v>
      </c>
      <c r="K55" s="21" t="str">
        <f t="shared" si="2"/>
        <v>Aubree Hart</v>
      </c>
    </row>
    <row r="56" spans="1:16" ht="15" customHeight="1" x14ac:dyDescent="0.25">
      <c r="A56" s="11" t="s">
        <v>167</v>
      </c>
      <c r="B56" s="11">
        <v>10</v>
      </c>
      <c r="C56" s="12" t="s">
        <v>212</v>
      </c>
      <c r="D56" s="12" t="s">
        <v>213</v>
      </c>
      <c r="E56" s="12" t="s">
        <v>214</v>
      </c>
      <c r="F56" s="12" t="s">
        <v>215</v>
      </c>
      <c r="G56" s="12" t="s">
        <v>216</v>
      </c>
      <c r="H56" s="12" t="s">
        <v>14</v>
      </c>
      <c r="K56" s="21" t="str">
        <f t="shared" si="2"/>
        <v>Shailynn Duran</v>
      </c>
    </row>
    <row r="57" spans="1:16" ht="15" customHeight="1" x14ac:dyDescent="0.25">
      <c r="A57" s="3" t="s">
        <v>167</v>
      </c>
      <c r="B57" s="3">
        <v>11</v>
      </c>
      <c r="C57" s="4" t="s">
        <v>217</v>
      </c>
      <c r="D57" s="4" t="s">
        <v>218</v>
      </c>
      <c r="E57" s="4" t="s">
        <v>219</v>
      </c>
      <c r="F57" s="4" t="s">
        <v>220</v>
      </c>
      <c r="G57" s="4" t="s">
        <v>221</v>
      </c>
      <c r="H57" s="4" t="s">
        <v>14</v>
      </c>
      <c r="K57" s="21" t="str">
        <f t="shared" si="2"/>
        <v>Avora Martin</v>
      </c>
    </row>
    <row r="58" spans="1:16" ht="15" customHeight="1" x14ac:dyDescent="0.25">
      <c r="A58" s="11" t="s">
        <v>167</v>
      </c>
      <c r="B58" s="11">
        <v>12</v>
      </c>
      <c r="C58" s="12" t="s">
        <v>222</v>
      </c>
      <c r="D58" s="12" t="s">
        <v>223</v>
      </c>
      <c r="E58" s="12" t="s">
        <v>214</v>
      </c>
      <c r="F58" s="12" t="s">
        <v>224</v>
      </c>
      <c r="G58" s="12" t="s">
        <v>225</v>
      </c>
      <c r="H58" s="12" t="s">
        <v>14</v>
      </c>
      <c r="K58" s="21" t="str">
        <f t="shared" si="2"/>
        <v>Louise Bare</v>
      </c>
    </row>
    <row r="59" spans="1:16" ht="15" customHeight="1" x14ac:dyDescent="0.25">
      <c r="A59" s="3" t="s">
        <v>167</v>
      </c>
      <c r="B59" s="3">
        <v>13</v>
      </c>
      <c r="C59" s="4" t="s">
        <v>104</v>
      </c>
      <c r="D59" s="4" t="s">
        <v>198</v>
      </c>
      <c r="E59" s="4" t="s">
        <v>199</v>
      </c>
      <c r="F59" s="4" t="s">
        <v>200</v>
      </c>
      <c r="G59" s="4" t="s">
        <v>201</v>
      </c>
      <c r="H59" s="4" t="s">
        <v>14</v>
      </c>
      <c r="I59">
        <f>COUNTA(A47:A59)</f>
        <v>13</v>
      </c>
      <c r="K59" s="21" t="str">
        <f t="shared" si="2"/>
        <v>Charlotte Haughey</v>
      </c>
    </row>
    <row r="60" spans="1:16" ht="15" customHeight="1" x14ac:dyDescent="0.25">
      <c r="A60" s="7" t="s">
        <v>167</v>
      </c>
      <c r="B60" s="7"/>
      <c r="C60" s="8" t="s">
        <v>226</v>
      </c>
      <c r="D60" s="8" t="s">
        <v>198</v>
      </c>
      <c r="E60" s="8"/>
      <c r="F60" s="8" t="s">
        <v>227</v>
      </c>
      <c r="G60" s="8" t="s">
        <v>201</v>
      </c>
      <c r="H60" s="8" t="s">
        <v>58</v>
      </c>
    </row>
    <row r="61" spans="1:16" ht="6" customHeight="1" x14ac:dyDescent="0.25"/>
    <row r="62" spans="1:16" ht="15.75" customHeight="1" x14ac:dyDescent="0.25">
      <c r="A62" s="22" t="s">
        <v>228</v>
      </c>
      <c r="B62" s="22"/>
      <c r="C62" s="22"/>
      <c r="D62" s="22"/>
      <c r="E62" s="22"/>
      <c r="F62" s="22"/>
      <c r="G62" s="22"/>
      <c r="H62" s="22"/>
      <c r="P62" s="35"/>
    </row>
    <row r="63" spans="1:16" ht="15" customHeight="1" x14ac:dyDescent="0.25">
      <c r="A63" s="3" t="s">
        <v>228</v>
      </c>
      <c r="B63" s="3">
        <v>1</v>
      </c>
      <c r="C63" s="4" t="s">
        <v>229</v>
      </c>
      <c r="D63" s="4" t="s">
        <v>230</v>
      </c>
      <c r="E63" s="4" t="s">
        <v>231</v>
      </c>
      <c r="F63" s="4" t="s">
        <v>232</v>
      </c>
      <c r="G63" s="4" t="s">
        <v>233</v>
      </c>
      <c r="H63" s="4" t="s">
        <v>14</v>
      </c>
      <c r="K63" s="21" t="str">
        <f t="shared" ref="K63:K75" si="3">C63&amp;" "&amp;D63</f>
        <v>Keira Burns</v>
      </c>
      <c r="P63" s="35"/>
    </row>
    <row r="64" spans="1:16" ht="15" customHeight="1" x14ac:dyDescent="0.25">
      <c r="A64" s="13" t="s">
        <v>228</v>
      </c>
      <c r="B64" s="13">
        <v>2</v>
      </c>
      <c r="C64" s="14" t="s">
        <v>234</v>
      </c>
      <c r="D64" s="14" t="s">
        <v>235</v>
      </c>
      <c r="E64" s="14" t="s">
        <v>236</v>
      </c>
      <c r="F64" s="14" t="s">
        <v>237</v>
      </c>
      <c r="G64" s="14" t="s">
        <v>238</v>
      </c>
      <c r="H64" s="14" t="s">
        <v>14</v>
      </c>
      <c r="K64" s="21" t="str">
        <f t="shared" si="3"/>
        <v>Lydia Tibbetts</v>
      </c>
    </row>
    <row r="65" spans="1:16" ht="15" customHeight="1" x14ac:dyDescent="0.25">
      <c r="A65" s="3" t="s">
        <v>228</v>
      </c>
      <c r="B65" s="3">
        <v>3</v>
      </c>
      <c r="C65" s="4" t="s">
        <v>239</v>
      </c>
      <c r="D65" s="4" t="s">
        <v>240</v>
      </c>
      <c r="E65" s="4" t="s">
        <v>241</v>
      </c>
      <c r="F65" s="4" t="s">
        <v>242</v>
      </c>
      <c r="G65" s="4" t="s">
        <v>243</v>
      </c>
      <c r="H65" s="4" t="s">
        <v>14</v>
      </c>
      <c r="K65" s="21" t="str">
        <f t="shared" si="3"/>
        <v>Malia McGrane</v>
      </c>
      <c r="P65" s="36"/>
    </row>
    <row r="66" spans="1:16" ht="15" customHeight="1" x14ac:dyDescent="0.25">
      <c r="A66" s="13" t="s">
        <v>228</v>
      </c>
      <c r="B66" s="13">
        <v>4</v>
      </c>
      <c r="C66" s="14" t="s">
        <v>244</v>
      </c>
      <c r="D66" s="14" t="s">
        <v>245</v>
      </c>
      <c r="E66" s="14" t="s">
        <v>246</v>
      </c>
      <c r="F66" s="14" t="s">
        <v>247</v>
      </c>
      <c r="G66" s="14" t="s">
        <v>248</v>
      </c>
      <c r="H66" s="14" t="s">
        <v>14</v>
      </c>
      <c r="K66" s="21" t="str">
        <f t="shared" si="3"/>
        <v>Zoe Davenport</v>
      </c>
    </row>
    <row r="67" spans="1:16" ht="15" customHeight="1" x14ac:dyDescent="0.25">
      <c r="A67" s="3" t="s">
        <v>228</v>
      </c>
      <c r="B67" s="3">
        <v>5</v>
      </c>
      <c r="C67" s="4" t="s">
        <v>249</v>
      </c>
      <c r="D67" s="4" t="s">
        <v>250</v>
      </c>
      <c r="E67" s="4" t="s">
        <v>251</v>
      </c>
      <c r="F67" s="4" t="s">
        <v>252</v>
      </c>
      <c r="G67" s="4" t="s">
        <v>253</v>
      </c>
      <c r="H67" s="4" t="s">
        <v>14</v>
      </c>
      <c r="K67" s="21" t="str">
        <f t="shared" si="3"/>
        <v>Samantha Gale</v>
      </c>
    </row>
    <row r="68" spans="1:16" ht="15" customHeight="1" x14ac:dyDescent="0.25">
      <c r="A68" s="13" t="s">
        <v>228</v>
      </c>
      <c r="B68" s="13">
        <v>6</v>
      </c>
      <c r="C68" s="14" t="s">
        <v>254</v>
      </c>
      <c r="D68" s="14" t="s">
        <v>255</v>
      </c>
      <c r="E68" s="14" t="s">
        <v>256</v>
      </c>
      <c r="F68" s="14" t="s">
        <v>257</v>
      </c>
      <c r="G68" s="14" t="s">
        <v>258</v>
      </c>
      <c r="H68" s="14" t="s">
        <v>14</v>
      </c>
      <c r="K68" s="21" t="str">
        <f t="shared" si="3"/>
        <v>Kareena Robinson</v>
      </c>
    </row>
    <row r="69" spans="1:16" ht="15" customHeight="1" x14ac:dyDescent="0.25">
      <c r="A69" s="3" t="s">
        <v>228</v>
      </c>
      <c r="B69" s="3">
        <v>7</v>
      </c>
      <c r="C69" s="4" t="s">
        <v>259</v>
      </c>
      <c r="D69" s="4" t="s">
        <v>260</v>
      </c>
      <c r="E69" s="4" t="s">
        <v>261</v>
      </c>
      <c r="F69" s="4" t="s">
        <v>262</v>
      </c>
      <c r="G69" s="4" t="s">
        <v>263</v>
      </c>
      <c r="H69" s="4" t="s">
        <v>14</v>
      </c>
      <c r="K69" s="21" t="str">
        <f t="shared" si="3"/>
        <v>Lola Kowalczyk</v>
      </c>
      <c r="P69" s="36"/>
    </row>
    <row r="70" spans="1:16" ht="15" customHeight="1" x14ac:dyDescent="0.25">
      <c r="A70" s="13" t="s">
        <v>228</v>
      </c>
      <c r="B70" s="13">
        <v>8</v>
      </c>
      <c r="C70" s="14" t="s">
        <v>264</v>
      </c>
      <c r="D70" s="14" t="s">
        <v>265</v>
      </c>
      <c r="E70" s="14" t="s">
        <v>266</v>
      </c>
      <c r="F70" s="14" t="s">
        <v>267</v>
      </c>
      <c r="G70" s="14" t="s">
        <v>268</v>
      </c>
      <c r="H70" s="14" t="s">
        <v>14</v>
      </c>
      <c r="K70" s="21" t="str">
        <f t="shared" si="3"/>
        <v>Paisley Scott</v>
      </c>
    </row>
    <row r="71" spans="1:16" ht="15" customHeight="1" x14ac:dyDescent="0.25">
      <c r="A71" s="3" t="s">
        <v>228</v>
      </c>
      <c r="B71" s="3">
        <v>9</v>
      </c>
      <c r="C71" s="4" t="s">
        <v>269</v>
      </c>
      <c r="D71" s="4" t="s">
        <v>270</v>
      </c>
      <c r="E71" s="4" t="s">
        <v>271</v>
      </c>
      <c r="F71" s="4" t="s">
        <v>272</v>
      </c>
      <c r="G71" s="4" t="s">
        <v>273</v>
      </c>
      <c r="H71" s="4" t="s">
        <v>14</v>
      </c>
      <c r="K71" s="21" t="str">
        <f t="shared" si="3"/>
        <v>Juliet Gomez</v>
      </c>
    </row>
    <row r="72" spans="1:16" ht="15" customHeight="1" x14ac:dyDescent="0.25">
      <c r="A72" s="13" t="s">
        <v>228</v>
      </c>
      <c r="B72" s="13">
        <v>10</v>
      </c>
      <c r="C72" s="14" t="s">
        <v>274</v>
      </c>
      <c r="D72" s="14" t="s">
        <v>275</v>
      </c>
      <c r="E72" s="14" t="s">
        <v>276</v>
      </c>
      <c r="F72" s="14" t="s">
        <v>277</v>
      </c>
      <c r="G72" s="14"/>
      <c r="H72" s="14" t="s">
        <v>14</v>
      </c>
      <c r="K72" s="21" t="str">
        <f t="shared" si="3"/>
        <v>Mariana Contreras Zarate</v>
      </c>
    </row>
    <row r="73" spans="1:16" ht="15" customHeight="1" x14ac:dyDescent="0.25">
      <c r="A73" s="3" t="s">
        <v>228</v>
      </c>
      <c r="B73" s="3">
        <v>11</v>
      </c>
      <c r="C73" s="4" t="s">
        <v>278</v>
      </c>
      <c r="D73" s="4" t="s">
        <v>279</v>
      </c>
      <c r="E73" s="4"/>
      <c r="F73" s="4" t="s">
        <v>280</v>
      </c>
      <c r="G73" s="4"/>
      <c r="H73" s="4" t="s">
        <v>14</v>
      </c>
      <c r="K73" s="21" t="str">
        <f t="shared" si="3"/>
        <v>Collette Whittington</v>
      </c>
    </row>
    <row r="74" spans="1:16" ht="15" customHeight="1" x14ac:dyDescent="0.25">
      <c r="A74" s="13" t="s">
        <v>228</v>
      </c>
      <c r="B74" s="13">
        <v>12</v>
      </c>
      <c r="C74" s="14" t="s">
        <v>281</v>
      </c>
      <c r="D74" s="14" t="s">
        <v>282</v>
      </c>
      <c r="E74" s="14" t="s">
        <v>283</v>
      </c>
      <c r="F74" s="14" t="s">
        <v>284</v>
      </c>
      <c r="G74" s="14"/>
      <c r="H74" s="14" t="s">
        <v>14</v>
      </c>
      <c r="K74" s="21" t="str">
        <f t="shared" si="3"/>
        <v>Chelsea Sanson</v>
      </c>
    </row>
    <row r="75" spans="1:16" ht="15" customHeight="1" x14ac:dyDescent="0.25">
      <c r="A75" s="3" t="s">
        <v>228</v>
      </c>
      <c r="B75" s="3">
        <v>13</v>
      </c>
      <c r="C75" s="4" t="s">
        <v>136</v>
      </c>
      <c r="D75" s="4" t="s">
        <v>285</v>
      </c>
      <c r="E75" s="4" t="s">
        <v>286</v>
      </c>
      <c r="F75" s="4" t="s">
        <v>287</v>
      </c>
      <c r="G75" s="4"/>
      <c r="H75" s="4" t="s">
        <v>14</v>
      </c>
      <c r="I75">
        <f>COUNTA(A63:A75)</f>
        <v>13</v>
      </c>
      <c r="K75" s="21" t="str">
        <f t="shared" si="3"/>
        <v>Olivia Phillips</v>
      </c>
    </row>
    <row r="76" spans="1:16" ht="15" customHeight="1" x14ac:dyDescent="0.25">
      <c r="A76" s="7" t="s">
        <v>228</v>
      </c>
      <c r="B76" s="7"/>
      <c r="C76" s="8" t="s">
        <v>288</v>
      </c>
      <c r="D76" s="8" t="s">
        <v>90</v>
      </c>
      <c r="E76" s="8"/>
      <c r="F76" s="8" t="s">
        <v>289</v>
      </c>
      <c r="G76" s="8" t="s">
        <v>290</v>
      </c>
      <c r="H76" s="8" t="s">
        <v>58</v>
      </c>
    </row>
    <row r="77" spans="1:16" ht="6" customHeight="1" x14ac:dyDescent="0.25"/>
    <row r="78" spans="1:16" ht="15.75" customHeight="1" x14ac:dyDescent="0.25">
      <c r="A78" s="23" t="s">
        <v>291</v>
      </c>
      <c r="B78" s="23"/>
      <c r="C78" s="23"/>
      <c r="D78" s="23"/>
      <c r="E78" s="23"/>
      <c r="F78" s="23"/>
      <c r="G78" s="23"/>
      <c r="H78" s="23"/>
    </row>
    <row r="79" spans="1:16" ht="15" customHeight="1" x14ac:dyDescent="0.25">
      <c r="A79" s="3" t="s">
        <v>291</v>
      </c>
      <c r="B79" s="3">
        <v>1</v>
      </c>
      <c r="C79" s="4" t="s">
        <v>292</v>
      </c>
      <c r="D79" s="4" t="s">
        <v>293</v>
      </c>
      <c r="E79" s="4" t="s">
        <v>294</v>
      </c>
      <c r="F79" s="4" t="s">
        <v>295</v>
      </c>
      <c r="G79" s="4" t="s">
        <v>296</v>
      </c>
      <c r="H79" s="4" t="s">
        <v>14</v>
      </c>
      <c r="K79" s="21" t="str">
        <f t="shared" ref="K79:K94" si="4">C79&amp;" "&amp;D79</f>
        <v>Madalyn Baker</v>
      </c>
    </row>
    <row r="80" spans="1:16" ht="15" customHeight="1" x14ac:dyDescent="0.25">
      <c r="A80" s="15" t="s">
        <v>291</v>
      </c>
      <c r="B80" s="15">
        <v>2</v>
      </c>
      <c r="C80" s="16" t="s">
        <v>297</v>
      </c>
      <c r="D80" s="16" t="s">
        <v>298</v>
      </c>
      <c r="E80" s="16" t="s">
        <v>299</v>
      </c>
      <c r="F80" s="16" t="s">
        <v>300</v>
      </c>
      <c r="G80" s="16" t="s">
        <v>301</v>
      </c>
      <c r="H80" s="16" t="s">
        <v>14</v>
      </c>
      <c r="K80" s="21" t="str">
        <f t="shared" si="4"/>
        <v>Myra Palomba</v>
      </c>
    </row>
    <row r="81" spans="1:13" ht="15" customHeight="1" x14ac:dyDescent="0.25">
      <c r="A81" s="3" t="s">
        <v>291</v>
      </c>
      <c r="B81" s="3">
        <v>3</v>
      </c>
      <c r="C81" s="4" t="s">
        <v>302</v>
      </c>
      <c r="D81" s="4" t="s">
        <v>198</v>
      </c>
      <c r="E81" s="4" t="s">
        <v>303</v>
      </c>
      <c r="F81" s="4" t="s">
        <v>200</v>
      </c>
      <c r="G81" s="4" t="s">
        <v>201</v>
      </c>
      <c r="H81" s="4" t="s">
        <v>14</v>
      </c>
      <c r="K81" s="21" t="str">
        <f t="shared" si="4"/>
        <v>Hannah Haughey</v>
      </c>
    </row>
    <row r="82" spans="1:13" ht="15" customHeight="1" x14ac:dyDescent="0.25">
      <c r="A82" s="15" t="s">
        <v>291</v>
      </c>
      <c r="B82" s="15">
        <v>4</v>
      </c>
      <c r="C82" s="16" t="s">
        <v>304</v>
      </c>
      <c r="D82" s="16" t="s">
        <v>305</v>
      </c>
      <c r="E82" s="16" t="s">
        <v>306</v>
      </c>
      <c r="F82" s="16" t="s">
        <v>307</v>
      </c>
      <c r="G82" s="16" t="s">
        <v>308</v>
      </c>
      <c r="H82" s="16" t="s">
        <v>14</v>
      </c>
      <c r="K82" s="21" t="str">
        <f t="shared" si="4"/>
        <v>Marie Twetan</v>
      </c>
      <c r="M82" s="18">
        <v>1</v>
      </c>
    </row>
    <row r="83" spans="1:13" ht="15" customHeight="1" x14ac:dyDescent="0.25">
      <c r="A83" s="3" t="s">
        <v>291</v>
      </c>
      <c r="B83" s="3">
        <v>5</v>
      </c>
      <c r="C83" s="4" t="s">
        <v>309</v>
      </c>
      <c r="D83" s="4" t="s">
        <v>310</v>
      </c>
      <c r="E83" s="4" t="s">
        <v>311</v>
      </c>
      <c r="F83" s="4" t="s">
        <v>312</v>
      </c>
      <c r="G83" s="4" t="s">
        <v>313</v>
      </c>
      <c r="H83" s="4" t="s">
        <v>14</v>
      </c>
      <c r="K83" s="21" t="str">
        <f t="shared" si="4"/>
        <v>Susanna Davidow</v>
      </c>
    </row>
    <row r="84" spans="1:13" ht="15" customHeight="1" x14ac:dyDescent="0.25">
      <c r="A84" s="15" t="s">
        <v>291</v>
      </c>
      <c r="B84" s="15">
        <v>6</v>
      </c>
      <c r="C84" s="16" t="s">
        <v>314</v>
      </c>
      <c r="D84" s="16" t="s">
        <v>315</v>
      </c>
      <c r="E84" s="16" t="s">
        <v>316</v>
      </c>
      <c r="F84" s="16" t="s">
        <v>317</v>
      </c>
      <c r="G84" s="16" t="s">
        <v>313</v>
      </c>
      <c r="H84" s="16" t="s">
        <v>14</v>
      </c>
      <c r="K84" s="21" t="str">
        <f t="shared" si="4"/>
        <v>Hailey Olson</v>
      </c>
    </row>
    <row r="85" spans="1:13" ht="15" customHeight="1" x14ac:dyDescent="0.25">
      <c r="A85" s="3" t="s">
        <v>291</v>
      </c>
      <c r="B85" s="3">
        <v>7</v>
      </c>
      <c r="C85" s="4" t="s">
        <v>47</v>
      </c>
      <c r="D85" s="4" t="s">
        <v>318</v>
      </c>
      <c r="E85" s="4" t="s">
        <v>319</v>
      </c>
      <c r="F85" s="4" t="s">
        <v>320</v>
      </c>
      <c r="G85" s="4" t="s">
        <v>321</v>
      </c>
      <c r="H85" s="4" t="s">
        <v>14</v>
      </c>
      <c r="K85" s="21" t="str">
        <f t="shared" si="4"/>
        <v>Reese Hooker</v>
      </c>
    </row>
    <row r="86" spans="1:13" ht="15" customHeight="1" x14ac:dyDescent="0.25">
      <c r="A86" s="15" t="s">
        <v>291</v>
      </c>
      <c r="B86" s="15">
        <v>8</v>
      </c>
      <c r="C86" s="16" t="s">
        <v>322</v>
      </c>
      <c r="D86" s="16" t="s">
        <v>323</v>
      </c>
      <c r="E86" s="16" t="s">
        <v>324</v>
      </c>
      <c r="F86" s="16" t="s">
        <v>325</v>
      </c>
      <c r="G86" s="16"/>
      <c r="H86" s="16" t="s">
        <v>14</v>
      </c>
      <c r="K86" s="21" t="str">
        <f t="shared" si="4"/>
        <v>Noelle Barnhart</v>
      </c>
    </row>
    <row r="87" spans="1:13" ht="15" customHeight="1" x14ac:dyDescent="0.25">
      <c r="A87" s="3" t="s">
        <v>291</v>
      </c>
      <c r="B87" s="3">
        <v>9</v>
      </c>
      <c r="C87" s="4" t="s">
        <v>326</v>
      </c>
      <c r="D87" s="4" t="s">
        <v>327</v>
      </c>
      <c r="E87" s="4" t="s">
        <v>328</v>
      </c>
      <c r="F87" s="4" t="s">
        <v>329</v>
      </c>
      <c r="G87" s="4"/>
      <c r="H87" s="4" t="s">
        <v>14</v>
      </c>
      <c r="K87" s="21" t="str">
        <f t="shared" si="4"/>
        <v>Baylor Jones</v>
      </c>
    </row>
    <row r="88" spans="1:13" ht="15" customHeight="1" x14ac:dyDescent="0.25">
      <c r="A88" s="15" t="s">
        <v>291</v>
      </c>
      <c r="B88" s="15">
        <v>10</v>
      </c>
      <c r="C88" s="16" t="s">
        <v>104</v>
      </c>
      <c r="D88" s="16" t="s">
        <v>330</v>
      </c>
      <c r="E88" s="16" t="s">
        <v>331</v>
      </c>
      <c r="F88" s="16" t="s">
        <v>332</v>
      </c>
      <c r="G88" s="16"/>
      <c r="H88" s="16" t="s">
        <v>14</v>
      </c>
      <c r="K88" s="21" t="str">
        <f t="shared" si="4"/>
        <v>Charlotte Blauch</v>
      </c>
    </row>
    <row r="89" spans="1:13" ht="15" customHeight="1" x14ac:dyDescent="0.25">
      <c r="A89" s="3" t="s">
        <v>291</v>
      </c>
      <c r="B89" s="3">
        <v>11</v>
      </c>
      <c r="C89" s="4" t="s">
        <v>333</v>
      </c>
      <c r="D89" s="4" t="s">
        <v>334</v>
      </c>
      <c r="E89" s="4" t="s">
        <v>335</v>
      </c>
      <c r="F89" s="4" t="s">
        <v>336</v>
      </c>
      <c r="G89" s="4"/>
      <c r="H89" s="4" t="s">
        <v>14</v>
      </c>
      <c r="K89" s="21" t="str">
        <f t="shared" si="4"/>
        <v>Kaia Gadbury</v>
      </c>
    </row>
    <row r="90" spans="1:13" ht="15" customHeight="1" x14ac:dyDescent="0.25">
      <c r="A90" s="15" t="s">
        <v>291</v>
      </c>
      <c r="B90" s="15">
        <v>12</v>
      </c>
      <c r="C90" s="16" t="s">
        <v>337</v>
      </c>
      <c r="D90" s="16" t="s">
        <v>338</v>
      </c>
      <c r="E90" s="16" t="s">
        <v>339</v>
      </c>
      <c r="F90" s="16" t="s">
        <v>340</v>
      </c>
      <c r="G90" s="16"/>
      <c r="H90" s="16" t="s">
        <v>14</v>
      </c>
      <c r="K90" s="21" t="str">
        <f t="shared" si="4"/>
        <v>Melissa Acosta Rodriguez</v>
      </c>
    </row>
    <row r="91" spans="1:13" ht="15" customHeight="1" x14ac:dyDescent="0.25">
      <c r="A91" s="3" t="s">
        <v>291</v>
      </c>
      <c r="B91" s="3">
        <v>13</v>
      </c>
      <c r="C91" s="4" t="s">
        <v>341</v>
      </c>
      <c r="D91" s="4" t="s">
        <v>342</v>
      </c>
      <c r="E91" s="4" t="s">
        <v>343</v>
      </c>
      <c r="F91" s="4" t="s">
        <v>344</v>
      </c>
      <c r="G91" s="4" t="s">
        <v>345</v>
      </c>
      <c r="H91" s="4" t="s">
        <v>14</v>
      </c>
      <c r="K91" s="21" t="str">
        <f t="shared" si="4"/>
        <v>Caroline Fennemore</v>
      </c>
    </row>
    <row r="92" spans="1:13" ht="15" customHeight="1" x14ac:dyDescent="0.25">
      <c r="A92" s="15" t="s">
        <v>291</v>
      </c>
      <c r="B92" s="15">
        <v>14</v>
      </c>
      <c r="C92" s="16" t="s">
        <v>346</v>
      </c>
      <c r="D92" s="16" t="s">
        <v>347</v>
      </c>
      <c r="E92" s="16" t="s">
        <v>348</v>
      </c>
      <c r="F92" s="16" t="s">
        <v>349</v>
      </c>
      <c r="G92" s="16" t="s">
        <v>350</v>
      </c>
      <c r="H92" s="16" t="s">
        <v>14</v>
      </c>
      <c r="K92" s="21" t="str">
        <f t="shared" si="4"/>
        <v>London Jean Louis</v>
      </c>
    </row>
    <row r="93" spans="1:13" ht="15" customHeight="1" x14ac:dyDescent="0.25">
      <c r="A93" s="3" t="s">
        <v>291</v>
      </c>
      <c r="B93" s="3">
        <v>15</v>
      </c>
      <c r="C93" s="4" t="s">
        <v>351</v>
      </c>
      <c r="D93" s="4" t="s">
        <v>352</v>
      </c>
      <c r="E93" s="4" t="s">
        <v>353</v>
      </c>
      <c r="F93" s="4" t="s">
        <v>354</v>
      </c>
      <c r="G93" s="4" t="s">
        <v>355</v>
      </c>
      <c r="H93" s="4" t="s">
        <v>14</v>
      </c>
      <c r="K93" s="21" t="str">
        <f t="shared" si="4"/>
        <v>Camryn Weissman</v>
      </c>
    </row>
    <row r="94" spans="1:13" ht="15" customHeight="1" x14ac:dyDescent="0.25">
      <c r="A94" s="15" t="s">
        <v>291</v>
      </c>
      <c r="B94" s="15">
        <v>16</v>
      </c>
      <c r="C94" s="16" t="s">
        <v>356</v>
      </c>
      <c r="D94" s="16" t="s">
        <v>357</v>
      </c>
      <c r="E94" s="16" t="s">
        <v>358</v>
      </c>
      <c r="F94" s="16" t="s">
        <v>359</v>
      </c>
      <c r="G94" s="16" t="s">
        <v>360</v>
      </c>
      <c r="H94" s="16" t="s">
        <v>14</v>
      </c>
      <c r="I94">
        <f>COUNTA(A79:A94)</f>
        <v>16</v>
      </c>
      <c r="K94" s="21" t="str">
        <f t="shared" si="4"/>
        <v>Ellie Polak</v>
      </c>
    </row>
    <row r="95" spans="1:13" ht="15" customHeight="1" x14ac:dyDescent="0.25">
      <c r="A95" s="7" t="s">
        <v>291</v>
      </c>
      <c r="B95" s="7"/>
      <c r="C95" s="8" t="s">
        <v>226</v>
      </c>
      <c r="D95" s="8" t="s">
        <v>198</v>
      </c>
      <c r="E95" s="8"/>
      <c r="F95" s="8" t="s">
        <v>227</v>
      </c>
      <c r="G95" s="8" t="s">
        <v>201</v>
      </c>
      <c r="H95" s="8" t="s">
        <v>58</v>
      </c>
    </row>
    <row r="96" spans="1:13" ht="6" customHeight="1" x14ac:dyDescent="0.25"/>
  </sheetData>
  <mergeCells count="7">
    <mergeCell ref="A62:H62"/>
    <mergeCell ref="A78:H78"/>
    <mergeCell ref="A1:H1"/>
    <mergeCell ref="A3:H3"/>
    <mergeCell ref="A16:H16"/>
    <mergeCell ref="A31:H31"/>
    <mergeCell ref="A46:H46"/>
  </mergeCells>
  <pageMargins left="0.75" right="0.75" top="1" bottom="1" header="0.511811023622047" footer="0.511811023622047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3" customWidth="1"/>
    <col min="3" max="3" width="20" customWidth="1"/>
    <col min="4" max="4" width="14" customWidth="1"/>
    <col min="5" max="5" width="40" customWidth="1"/>
    <col min="6" max="6" width="16" customWidth="1"/>
  </cols>
  <sheetData>
    <row r="1" spans="1:6" ht="27.75" customHeight="1" x14ac:dyDescent="0.25">
      <c r="A1" s="24" t="s">
        <v>361</v>
      </c>
      <c r="B1" s="24"/>
      <c r="C1" s="24"/>
      <c r="D1" s="24"/>
      <c r="E1" s="24"/>
      <c r="F1" s="24"/>
    </row>
    <row r="2" spans="1:6" ht="18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5.75" customHeight="1" x14ac:dyDescent="0.25">
      <c r="A3" s="3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/>
    </row>
    <row r="4" spans="1:6" ht="15.75" customHeight="1" x14ac:dyDescent="0.25">
      <c r="A4" s="5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/>
    </row>
    <row r="5" spans="1:6" ht="15.75" customHeight="1" x14ac:dyDescent="0.25">
      <c r="A5" s="3">
        <v>3</v>
      </c>
      <c r="B5" s="4" t="s">
        <v>19</v>
      </c>
      <c r="C5" s="4" t="s">
        <v>20</v>
      </c>
      <c r="D5" s="4" t="s">
        <v>21</v>
      </c>
      <c r="E5" s="4" t="s">
        <v>22</v>
      </c>
      <c r="F5" s="4"/>
    </row>
    <row r="6" spans="1:6" ht="15.75" customHeight="1" x14ac:dyDescent="0.25">
      <c r="A6" s="5">
        <v>4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</row>
    <row r="7" spans="1:6" ht="15.75" customHeight="1" x14ac:dyDescent="0.25">
      <c r="A7" s="3">
        <v>5</v>
      </c>
      <c r="B7" s="4" t="s">
        <v>28</v>
      </c>
      <c r="C7" s="4" t="s">
        <v>29</v>
      </c>
      <c r="D7" s="4" t="s">
        <v>30</v>
      </c>
      <c r="E7" s="4" t="s">
        <v>31</v>
      </c>
      <c r="F7" s="4"/>
    </row>
    <row r="8" spans="1:6" ht="15.75" customHeight="1" x14ac:dyDescent="0.25">
      <c r="A8" s="5">
        <v>6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</row>
    <row r="9" spans="1:6" ht="15.75" customHeight="1" x14ac:dyDescent="0.25">
      <c r="A9" s="3">
        <v>7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</row>
    <row r="10" spans="1:6" ht="15.75" customHeight="1" x14ac:dyDescent="0.25">
      <c r="A10" s="5">
        <v>8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</row>
    <row r="11" spans="1:6" ht="15.75" customHeight="1" x14ac:dyDescent="0.25">
      <c r="A11" s="3">
        <v>9</v>
      </c>
      <c r="B11" s="4" t="s">
        <v>47</v>
      </c>
      <c r="C11" s="4" t="s">
        <v>48</v>
      </c>
      <c r="D11" s="4" t="s">
        <v>49</v>
      </c>
      <c r="E11" s="4" t="s">
        <v>50</v>
      </c>
      <c r="F11" s="4"/>
    </row>
    <row r="12" spans="1:6" ht="15.75" customHeight="1" x14ac:dyDescent="0.25">
      <c r="A12" s="5">
        <v>10</v>
      </c>
      <c r="B12" s="6" t="s">
        <v>51</v>
      </c>
      <c r="C12" s="6" t="s">
        <v>52</v>
      </c>
      <c r="D12" s="6" t="s">
        <v>53</v>
      </c>
      <c r="E12" s="6" t="s">
        <v>54</v>
      </c>
      <c r="F12" s="6"/>
    </row>
    <row r="13" spans="1:6" ht="7.5" customHeight="1" x14ac:dyDescent="0.25"/>
    <row r="14" spans="1:6" ht="15.75" customHeight="1" x14ac:dyDescent="0.25">
      <c r="A14" s="29" t="s">
        <v>362</v>
      </c>
      <c r="B14" s="29"/>
      <c r="C14" s="29"/>
      <c r="D14" s="29"/>
      <c r="E14" s="29"/>
      <c r="F14" s="29"/>
    </row>
    <row r="15" spans="1:6" ht="15.75" customHeight="1" x14ac:dyDescent="0.25">
      <c r="A15" s="2"/>
      <c r="B15" s="2" t="s">
        <v>3</v>
      </c>
      <c r="C15" s="2" t="s">
        <v>4</v>
      </c>
      <c r="D15" s="2" t="s">
        <v>8</v>
      </c>
      <c r="E15" s="2" t="s">
        <v>363</v>
      </c>
      <c r="F15" s="2" t="s">
        <v>7</v>
      </c>
    </row>
    <row r="16" spans="1:6" ht="15.75" customHeight="1" x14ac:dyDescent="0.25">
      <c r="A16" s="17"/>
      <c r="B16" s="17" t="s">
        <v>55</v>
      </c>
      <c r="C16" s="17" t="s">
        <v>20</v>
      </c>
      <c r="D16" s="17" t="s">
        <v>364</v>
      </c>
      <c r="E16" s="17" t="s">
        <v>56</v>
      </c>
      <c r="F16" s="17" t="s">
        <v>57</v>
      </c>
    </row>
  </sheetData>
  <mergeCells count="2">
    <mergeCell ref="A1:F1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3" customWidth="1"/>
    <col min="3" max="3" width="20" customWidth="1"/>
    <col min="4" max="4" width="14" customWidth="1"/>
    <col min="5" max="5" width="40" customWidth="1"/>
    <col min="6" max="6" width="16" customWidth="1"/>
  </cols>
  <sheetData>
    <row r="1" spans="1:6" ht="27.75" customHeight="1" x14ac:dyDescent="0.25">
      <c r="A1" s="30" t="s">
        <v>365</v>
      </c>
      <c r="B1" s="30"/>
      <c r="C1" s="30"/>
      <c r="D1" s="30"/>
      <c r="E1" s="30"/>
      <c r="F1" s="30"/>
    </row>
    <row r="2" spans="1:6" ht="18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5.75" customHeight="1" x14ac:dyDescent="0.25">
      <c r="A3" s="3">
        <v>1</v>
      </c>
      <c r="B3" s="4" t="s">
        <v>60</v>
      </c>
      <c r="C3" s="4" t="s">
        <v>61</v>
      </c>
      <c r="D3" s="4" t="s">
        <v>62</v>
      </c>
      <c r="E3" s="4" t="s">
        <v>63</v>
      </c>
      <c r="F3" s="4" t="s">
        <v>64</v>
      </c>
    </row>
    <row r="4" spans="1:6" ht="15.75" customHeight="1" x14ac:dyDescent="0.25">
      <c r="A4" s="9">
        <v>2</v>
      </c>
      <c r="B4" s="10" t="s">
        <v>65</v>
      </c>
      <c r="C4" s="10" t="s">
        <v>66</v>
      </c>
      <c r="D4" s="10" t="s">
        <v>67</v>
      </c>
      <c r="E4" s="10" t="s">
        <v>68</v>
      </c>
      <c r="F4" s="10" t="s">
        <v>69</v>
      </c>
    </row>
    <row r="5" spans="1:6" ht="15.75" customHeight="1" x14ac:dyDescent="0.25">
      <c r="A5" s="3">
        <v>3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</row>
    <row r="6" spans="1:6" ht="15.75" customHeight="1" x14ac:dyDescent="0.25">
      <c r="A6" s="9">
        <v>4</v>
      </c>
      <c r="B6" s="10" t="s">
        <v>75</v>
      </c>
      <c r="C6" s="10" t="s">
        <v>76</v>
      </c>
      <c r="D6" s="10" t="s">
        <v>77</v>
      </c>
      <c r="E6" s="10" t="s">
        <v>78</v>
      </c>
      <c r="F6" s="10" t="s">
        <v>79</v>
      </c>
    </row>
    <row r="7" spans="1:6" ht="15.75" customHeight="1" x14ac:dyDescent="0.25">
      <c r="A7" s="3">
        <v>5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84</v>
      </c>
    </row>
    <row r="8" spans="1:6" ht="15.75" customHeight="1" x14ac:dyDescent="0.25">
      <c r="A8" s="9">
        <v>6</v>
      </c>
      <c r="B8" s="10" t="s">
        <v>10</v>
      </c>
      <c r="C8" s="10" t="s">
        <v>85</v>
      </c>
      <c r="D8" s="10" t="s">
        <v>86</v>
      </c>
      <c r="E8" s="10" t="s">
        <v>87</v>
      </c>
      <c r="F8" s="10" t="s">
        <v>88</v>
      </c>
    </row>
    <row r="9" spans="1:6" ht="15.75" customHeight="1" x14ac:dyDescent="0.25">
      <c r="A9" s="3">
        <v>7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</row>
    <row r="10" spans="1:6" ht="15.75" customHeight="1" x14ac:dyDescent="0.25">
      <c r="A10" s="9">
        <v>8</v>
      </c>
      <c r="B10" s="10" t="s">
        <v>94</v>
      </c>
      <c r="C10" s="10" t="s">
        <v>95</v>
      </c>
      <c r="D10" s="10" t="s">
        <v>96</v>
      </c>
      <c r="E10" s="10" t="s">
        <v>97</v>
      </c>
      <c r="F10" s="10" t="s">
        <v>98</v>
      </c>
    </row>
    <row r="11" spans="1:6" ht="15.75" customHeight="1" x14ac:dyDescent="0.25">
      <c r="A11" s="3">
        <v>9</v>
      </c>
      <c r="B11" s="4" t="s">
        <v>99</v>
      </c>
      <c r="C11" s="4" t="s">
        <v>100</v>
      </c>
      <c r="D11" s="4" t="s">
        <v>101</v>
      </c>
      <c r="E11" s="4" t="s">
        <v>102</v>
      </c>
      <c r="F11" s="4" t="s">
        <v>103</v>
      </c>
    </row>
    <row r="12" spans="1:6" ht="15.75" customHeight="1" x14ac:dyDescent="0.25">
      <c r="A12" s="9">
        <v>10</v>
      </c>
      <c r="B12" s="10" t="s">
        <v>104</v>
      </c>
      <c r="C12" s="10" t="s">
        <v>105</v>
      </c>
      <c r="D12" s="10" t="s">
        <v>106</v>
      </c>
      <c r="E12" s="10" t="s">
        <v>107</v>
      </c>
      <c r="F12" s="10" t="s">
        <v>108</v>
      </c>
    </row>
    <row r="13" spans="1:6" ht="15.75" customHeight="1" x14ac:dyDescent="0.25">
      <c r="A13" s="3">
        <v>11</v>
      </c>
      <c r="B13" s="4" t="s">
        <v>109</v>
      </c>
      <c r="C13" s="4" t="s">
        <v>110</v>
      </c>
      <c r="D13" s="4" t="s">
        <v>111</v>
      </c>
      <c r="E13" s="4" t="s">
        <v>112</v>
      </c>
      <c r="F13" s="4" t="s">
        <v>113</v>
      </c>
    </row>
    <row r="14" spans="1:6" ht="7.5" customHeight="1" x14ac:dyDescent="0.25"/>
    <row r="15" spans="1:6" ht="15.75" customHeight="1" x14ac:dyDescent="0.25">
      <c r="A15" s="29" t="s">
        <v>362</v>
      </c>
      <c r="B15" s="29"/>
      <c r="C15" s="29"/>
      <c r="D15" s="29"/>
      <c r="E15" s="29"/>
      <c r="F15" s="29"/>
    </row>
    <row r="16" spans="1:6" ht="15.75" customHeight="1" x14ac:dyDescent="0.25">
      <c r="A16" s="2"/>
      <c r="B16" s="2" t="s">
        <v>3</v>
      </c>
      <c r="C16" s="2" t="s">
        <v>4</v>
      </c>
      <c r="D16" s="2" t="s">
        <v>8</v>
      </c>
      <c r="E16" s="2" t="s">
        <v>363</v>
      </c>
      <c r="F16" s="2" t="s">
        <v>7</v>
      </c>
    </row>
    <row r="17" spans="1:6" ht="15.75" customHeight="1" x14ac:dyDescent="0.25">
      <c r="A17" s="17"/>
      <c r="B17" s="17" t="s">
        <v>114</v>
      </c>
      <c r="C17" s="17" t="s">
        <v>76</v>
      </c>
      <c r="D17" s="17" t="s">
        <v>364</v>
      </c>
      <c r="E17" s="17" t="s">
        <v>115</v>
      </c>
      <c r="F17" s="17" t="s">
        <v>79</v>
      </c>
    </row>
    <row r="18" spans="1:6" ht="15.75" customHeight="1" x14ac:dyDescent="0.25">
      <c r="A18" s="17"/>
      <c r="B18" s="17" t="s">
        <v>116</v>
      </c>
      <c r="C18" s="17" t="s">
        <v>71</v>
      </c>
      <c r="D18" s="17" t="s">
        <v>364</v>
      </c>
      <c r="E18" s="17" t="s">
        <v>117</v>
      </c>
      <c r="F18" s="17" t="s">
        <v>74</v>
      </c>
    </row>
  </sheetData>
  <mergeCells count="2">
    <mergeCell ref="A1:F1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3" customWidth="1"/>
    <col min="3" max="3" width="20" customWidth="1"/>
    <col min="4" max="4" width="14" customWidth="1"/>
    <col min="5" max="5" width="40" customWidth="1"/>
    <col min="6" max="6" width="16" customWidth="1"/>
  </cols>
  <sheetData>
    <row r="1" spans="1:6" ht="27.75" customHeight="1" x14ac:dyDescent="0.25">
      <c r="A1" s="31" t="s">
        <v>366</v>
      </c>
      <c r="B1" s="31"/>
      <c r="C1" s="31"/>
      <c r="D1" s="31"/>
      <c r="E1" s="31"/>
      <c r="F1" s="31"/>
    </row>
    <row r="2" spans="1:6" ht="18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5.75" customHeight="1" x14ac:dyDescent="0.25">
      <c r="A3" s="3">
        <v>1</v>
      </c>
      <c r="B3" s="4" t="s">
        <v>119</v>
      </c>
      <c r="C3" s="4" t="s">
        <v>20</v>
      </c>
      <c r="D3" s="4" t="s">
        <v>120</v>
      </c>
      <c r="E3" s="4" t="s">
        <v>56</v>
      </c>
      <c r="F3" s="4"/>
    </row>
    <row r="4" spans="1:6" ht="15.75" customHeight="1" x14ac:dyDescent="0.25">
      <c r="A4" s="5">
        <v>2</v>
      </c>
      <c r="B4" s="6" t="s">
        <v>121</v>
      </c>
      <c r="C4" s="6" t="s">
        <v>122</v>
      </c>
      <c r="D4" s="6" t="s">
        <v>123</v>
      </c>
      <c r="E4" s="6" t="s">
        <v>124</v>
      </c>
      <c r="F4" s="6" t="s">
        <v>125</v>
      </c>
    </row>
    <row r="5" spans="1:6" ht="15.75" customHeight="1" x14ac:dyDescent="0.25">
      <c r="A5" s="3">
        <v>3</v>
      </c>
      <c r="B5" s="4" t="s">
        <v>126</v>
      </c>
      <c r="C5" s="4" t="s">
        <v>127</v>
      </c>
      <c r="D5" s="4" t="s">
        <v>128</v>
      </c>
      <c r="E5" s="4" t="s">
        <v>129</v>
      </c>
      <c r="F5" s="4"/>
    </row>
    <row r="6" spans="1:6" ht="15.75" customHeight="1" x14ac:dyDescent="0.25">
      <c r="A6" s="5">
        <v>4</v>
      </c>
      <c r="B6" s="6" t="s">
        <v>130</v>
      </c>
      <c r="C6" s="6" t="s">
        <v>131</v>
      </c>
      <c r="D6" s="6" t="s">
        <v>132</v>
      </c>
      <c r="E6" s="6" t="s">
        <v>133</v>
      </c>
      <c r="F6" s="6"/>
    </row>
    <row r="7" spans="1:6" ht="15.75" customHeight="1" x14ac:dyDescent="0.25">
      <c r="A7" s="3">
        <v>5</v>
      </c>
      <c r="B7" s="4" t="s">
        <v>134</v>
      </c>
      <c r="C7" s="4" t="s">
        <v>52</v>
      </c>
      <c r="D7" s="4" t="s">
        <v>135</v>
      </c>
      <c r="E7" s="4" t="s">
        <v>54</v>
      </c>
      <c r="F7" s="4"/>
    </row>
    <row r="8" spans="1:6" ht="15.75" customHeight="1" x14ac:dyDescent="0.25">
      <c r="A8" s="5">
        <v>6</v>
      </c>
      <c r="B8" s="6" t="s">
        <v>136</v>
      </c>
      <c r="C8" s="6" t="s">
        <v>137</v>
      </c>
      <c r="D8" s="6" t="s">
        <v>138</v>
      </c>
      <c r="E8" s="6" t="s">
        <v>139</v>
      </c>
      <c r="F8" s="6"/>
    </row>
    <row r="9" spans="1:6" ht="15.75" customHeight="1" x14ac:dyDescent="0.25">
      <c r="A9" s="3">
        <v>7</v>
      </c>
      <c r="B9" s="4" t="s">
        <v>140</v>
      </c>
      <c r="C9" s="4" t="s">
        <v>141</v>
      </c>
      <c r="D9" s="4" t="s">
        <v>142</v>
      </c>
      <c r="E9" s="4" t="s">
        <v>143</v>
      </c>
      <c r="F9" s="4"/>
    </row>
    <row r="10" spans="1:6" ht="15.75" customHeight="1" x14ac:dyDescent="0.25">
      <c r="A10" s="5">
        <v>8</v>
      </c>
      <c r="B10" s="6" t="s">
        <v>144</v>
      </c>
      <c r="C10" s="6" t="s">
        <v>145</v>
      </c>
      <c r="D10" s="6" t="s">
        <v>146</v>
      </c>
      <c r="E10" s="6" t="s">
        <v>147</v>
      </c>
      <c r="F10" s="6"/>
    </row>
    <row r="11" spans="1:6" ht="15.75" customHeight="1" x14ac:dyDescent="0.25">
      <c r="A11" s="3">
        <v>9</v>
      </c>
      <c r="B11" s="4" t="s">
        <v>148</v>
      </c>
      <c r="C11" s="4" t="s">
        <v>149</v>
      </c>
      <c r="D11" s="4" t="s">
        <v>150</v>
      </c>
      <c r="E11" s="4" t="s">
        <v>151</v>
      </c>
      <c r="F11" s="4"/>
    </row>
    <row r="12" spans="1:6" ht="15.75" customHeight="1" x14ac:dyDescent="0.25">
      <c r="A12" s="5">
        <v>10</v>
      </c>
      <c r="B12" s="6" t="s">
        <v>152</v>
      </c>
      <c r="C12" s="6" t="s">
        <v>153</v>
      </c>
      <c r="D12" s="6" t="s">
        <v>154</v>
      </c>
      <c r="E12" s="6" t="s">
        <v>155</v>
      </c>
      <c r="F12" s="6" t="s">
        <v>156</v>
      </c>
    </row>
    <row r="13" spans="1:6" ht="15.75" customHeight="1" x14ac:dyDescent="0.25">
      <c r="A13" s="3">
        <v>11</v>
      </c>
      <c r="B13" s="4" t="s">
        <v>157</v>
      </c>
      <c r="C13" s="4" t="s">
        <v>158</v>
      </c>
      <c r="D13" s="4"/>
      <c r="E13" s="4" t="s">
        <v>159</v>
      </c>
      <c r="F13" s="4"/>
    </row>
    <row r="14" spans="1:6" ht="15.75" customHeight="1" x14ac:dyDescent="0.25">
      <c r="A14" s="5">
        <v>12</v>
      </c>
      <c r="B14" s="6" t="s">
        <v>160</v>
      </c>
      <c r="C14" s="6" t="s">
        <v>161</v>
      </c>
      <c r="D14" s="6"/>
      <c r="E14" s="6" t="s">
        <v>162</v>
      </c>
      <c r="F14" s="6"/>
    </row>
    <row r="15" spans="1:6" ht="7.5" customHeight="1" x14ac:dyDescent="0.25"/>
    <row r="16" spans="1:6" ht="15.75" customHeight="1" x14ac:dyDescent="0.25">
      <c r="A16" s="29" t="s">
        <v>362</v>
      </c>
      <c r="B16" s="29"/>
      <c r="C16" s="29"/>
      <c r="D16" s="29"/>
      <c r="E16" s="29"/>
      <c r="F16" s="29"/>
    </row>
    <row r="17" spans="1:6" ht="15.75" customHeight="1" x14ac:dyDescent="0.25">
      <c r="A17" s="2"/>
      <c r="B17" s="2" t="s">
        <v>3</v>
      </c>
      <c r="C17" s="2" t="s">
        <v>4</v>
      </c>
      <c r="D17" s="2" t="s">
        <v>8</v>
      </c>
      <c r="E17" s="2" t="s">
        <v>363</v>
      </c>
      <c r="F17" s="2" t="s">
        <v>7</v>
      </c>
    </row>
    <row r="18" spans="1:6" ht="15.75" customHeight="1" x14ac:dyDescent="0.25">
      <c r="A18" s="17"/>
      <c r="B18" s="17" t="s">
        <v>163</v>
      </c>
      <c r="C18" s="17" t="s">
        <v>164</v>
      </c>
      <c r="D18" s="17" t="s">
        <v>364</v>
      </c>
      <c r="E18" s="17" t="s">
        <v>165</v>
      </c>
      <c r="F18" s="17" t="s">
        <v>166</v>
      </c>
    </row>
  </sheetData>
  <mergeCells count="2">
    <mergeCell ref="A1:F1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3" customWidth="1"/>
    <col min="3" max="3" width="20" customWidth="1"/>
    <col min="4" max="4" width="14" customWidth="1"/>
    <col min="5" max="5" width="40" customWidth="1"/>
    <col min="6" max="6" width="16" customWidth="1"/>
  </cols>
  <sheetData>
    <row r="1" spans="1:6" ht="27.75" customHeight="1" x14ac:dyDescent="0.25">
      <c r="A1" s="32" t="s">
        <v>367</v>
      </c>
      <c r="B1" s="32"/>
      <c r="C1" s="32"/>
      <c r="D1" s="32"/>
      <c r="E1" s="32"/>
      <c r="F1" s="32"/>
    </row>
    <row r="2" spans="1:6" ht="18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5.75" customHeight="1" x14ac:dyDescent="0.25">
      <c r="A3" s="3">
        <v>1</v>
      </c>
      <c r="B3" s="4" t="s">
        <v>168</v>
      </c>
      <c r="C3" s="4" t="s">
        <v>169</v>
      </c>
      <c r="D3" s="4" t="s">
        <v>170</v>
      </c>
      <c r="E3" s="4" t="s">
        <v>171</v>
      </c>
      <c r="F3" s="4" t="s">
        <v>172</v>
      </c>
    </row>
    <row r="4" spans="1:6" ht="15.75" customHeight="1" x14ac:dyDescent="0.25">
      <c r="A4" s="11">
        <v>2</v>
      </c>
      <c r="B4" s="12" t="s">
        <v>173</v>
      </c>
      <c r="C4" s="12" t="s">
        <v>174</v>
      </c>
      <c r="D4" s="12" t="s">
        <v>175</v>
      </c>
      <c r="E4" s="12" t="s">
        <v>176</v>
      </c>
      <c r="F4" s="12" t="s">
        <v>177</v>
      </c>
    </row>
    <row r="5" spans="1:6" ht="15.75" customHeight="1" x14ac:dyDescent="0.25">
      <c r="A5" s="3">
        <v>3</v>
      </c>
      <c r="B5" s="4" t="s">
        <v>60</v>
      </c>
      <c r="C5" s="4" t="s">
        <v>178</v>
      </c>
      <c r="D5" s="4" t="s">
        <v>179</v>
      </c>
      <c r="E5" s="4" t="s">
        <v>180</v>
      </c>
      <c r="F5" s="4" t="s">
        <v>181</v>
      </c>
    </row>
    <row r="6" spans="1:6" ht="15.75" customHeight="1" x14ac:dyDescent="0.25">
      <c r="A6" s="11">
        <v>4</v>
      </c>
      <c r="B6" s="12" t="s">
        <v>182</v>
      </c>
      <c r="C6" s="12" t="s">
        <v>183</v>
      </c>
      <c r="D6" s="12" t="s">
        <v>184</v>
      </c>
      <c r="E6" s="12" t="s">
        <v>185</v>
      </c>
      <c r="F6" s="12" t="s">
        <v>186</v>
      </c>
    </row>
    <row r="7" spans="1:6" ht="15.75" customHeight="1" x14ac:dyDescent="0.25">
      <c r="A7" s="3">
        <v>5</v>
      </c>
      <c r="B7" s="4" t="s">
        <v>187</v>
      </c>
      <c r="C7" s="4" t="s">
        <v>188</v>
      </c>
      <c r="D7" s="4" t="s">
        <v>189</v>
      </c>
      <c r="E7" s="4" t="s">
        <v>190</v>
      </c>
      <c r="F7" s="4" t="s">
        <v>191</v>
      </c>
    </row>
    <row r="8" spans="1:6" ht="15.75" customHeight="1" x14ac:dyDescent="0.25">
      <c r="A8" s="11">
        <v>6</v>
      </c>
      <c r="B8" s="12" t="s">
        <v>192</v>
      </c>
      <c r="C8" s="12" t="s">
        <v>193</v>
      </c>
      <c r="D8" s="12" t="s">
        <v>194</v>
      </c>
      <c r="E8" s="12" t="s">
        <v>195</v>
      </c>
      <c r="F8" s="12" t="s">
        <v>196</v>
      </c>
    </row>
    <row r="9" spans="1:6" ht="15.75" customHeight="1" x14ac:dyDescent="0.25">
      <c r="A9" s="3">
        <v>7</v>
      </c>
      <c r="B9" s="4" t="s">
        <v>197</v>
      </c>
      <c r="C9" s="4" t="s">
        <v>198</v>
      </c>
      <c r="D9" s="4" t="s">
        <v>199</v>
      </c>
      <c r="E9" s="4" t="s">
        <v>200</v>
      </c>
      <c r="F9" s="4" t="s">
        <v>201</v>
      </c>
    </row>
    <row r="10" spans="1:6" ht="15.75" customHeight="1" x14ac:dyDescent="0.25">
      <c r="A10" s="11">
        <v>8</v>
      </c>
      <c r="B10" s="12" t="s">
        <v>202</v>
      </c>
      <c r="C10" s="12" t="s">
        <v>203</v>
      </c>
      <c r="D10" s="12" t="s">
        <v>204</v>
      </c>
      <c r="E10" s="12" t="s">
        <v>205</v>
      </c>
      <c r="F10" s="12" t="s">
        <v>206</v>
      </c>
    </row>
    <row r="11" spans="1:6" ht="15.75" customHeight="1" x14ac:dyDescent="0.25">
      <c r="A11" s="3">
        <v>9</v>
      </c>
      <c r="B11" s="4" t="s">
        <v>207</v>
      </c>
      <c r="C11" s="4" t="s">
        <v>208</v>
      </c>
      <c r="D11" s="4" t="s">
        <v>209</v>
      </c>
      <c r="E11" s="4" t="s">
        <v>210</v>
      </c>
      <c r="F11" s="4" t="s">
        <v>211</v>
      </c>
    </row>
    <row r="12" spans="1:6" ht="15.75" customHeight="1" x14ac:dyDescent="0.25">
      <c r="A12" s="11">
        <v>10</v>
      </c>
      <c r="B12" s="12" t="s">
        <v>212</v>
      </c>
      <c r="C12" s="12" t="s">
        <v>213</v>
      </c>
      <c r="D12" s="12" t="s">
        <v>214</v>
      </c>
      <c r="E12" s="12" t="s">
        <v>215</v>
      </c>
      <c r="F12" s="12" t="s">
        <v>216</v>
      </c>
    </row>
    <row r="13" spans="1:6" ht="15.75" customHeight="1" x14ac:dyDescent="0.25">
      <c r="A13" s="3">
        <v>11</v>
      </c>
      <c r="B13" s="4" t="s">
        <v>217</v>
      </c>
      <c r="C13" s="4" t="s">
        <v>218</v>
      </c>
      <c r="D13" s="4" t="s">
        <v>219</v>
      </c>
      <c r="E13" s="4" t="s">
        <v>220</v>
      </c>
      <c r="F13" s="4" t="s">
        <v>221</v>
      </c>
    </row>
    <row r="14" spans="1:6" ht="15.75" customHeight="1" x14ac:dyDescent="0.25">
      <c r="A14" s="11">
        <v>12</v>
      </c>
      <c r="B14" s="12" t="s">
        <v>222</v>
      </c>
      <c r="C14" s="12" t="s">
        <v>223</v>
      </c>
      <c r="D14" s="12" t="s">
        <v>214</v>
      </c>
      <c r="E14" s="12" t="s">
        <v>224</v>
      </c>
      <c r="F14" s="12" t="s">
        <v>225</v>
      </c>
    </row>
    <row r="15" spans="1:6" ht="15.75" customHeight="1" x14ac:dyDescent="0.25">
      <c r="A15" s="3">
        <v>13</v>
      </c>
      <c r="B15" s="4" t="s">
        <v>104</v>
      </c>
      <c r="C15" s="4" t="s">
        <v>198</v>
      </c>
      <c r="D15" s="4" t="s">
        <v>199</v>
      </c>
      <c r="E15" s="4" t="s">
        <v>200</v>
      </c>
      <c r="F15" s="4" t="s">
        <v>201</v>
      </c>
    </row>
    <row r="16" spans="1:6" ht="7.5" customHeight="1" x14ac:dyDescent="0.25"/>
    <row r="17" spans="1:6" ht="15.75" customHeight="1" x14ac:dyDescent="0.25">
      <c r="A17" s="29" t="s">
        <v>362</v>
      </c>
      <c r="B17" s="29"/>
      <c r="C17" s="29"/>
      <c r="D17" s="29"/>
      <c r="E17" s="29"/>
      <c r="F17" s="29"/>
    </row>
    <row r="18" spans="1:6" ht="15.75" customHeight="1" x14ac:dyDescent="0.25">
      <c r="A18" s="2"/>
      <c r="B18" s="2" t="s">
        <v>3</v>
      </c>
      <c r="C18" s="2" t="s">
        <v>4</v>
      </c>
      <c r="D18" s="2" t="s">
        <v>8</v>
      </c>
      <c r="E18" s="2" t="s">
        <v>363</v>
      </c>
      <c r="F18" s="2" t="s">
        <v>7</v>
      </c>
    </row>
    <row r="19" spans="1:6" ht="15.75" customHeight="1" x14ac:dyDescent="0.25">
      <c r="A19" s="17"/>
      <c r="B19" s="17" t="s">
        <v>226</v>
      </c>
      <c r="C19" s="17" t="s">
        <v>198</v>
      </c>
      <c r="D19" s="17" t="s">
        <v>364</v>
      </c>
      <c r="E19" s="17" t="s">
        <v>227</v>
      </c>
      <c r="F19" s="17" t="s">
        <v>201</v>
      </c>
    </row>
  </sheetData>
  <mergeCells count="2">
    <mergeCell ref="A1:F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3" customWidth="1"/>
    <col min="3" max="3" width="20" customWidth="1"/>
    <col min="4" max="4" width="14" customWidth="1"/>
    <col min="5" max="5" width="40" customWidth="1"/>
    <col min="6" max="6" width="16" customWidth="1"/>
  </cols>
  <sheetData>
    <row r="1" spans="1:6" ht="27.75" customHeight="1" x14ac:dyDescent="0.25">
      <c r="A1" s="33" t="s">
        <v>368</v>
      </c>
      <c r="B1" s="33"/>
      <c r="C1" s="33"/>
      <c r="D1" s="33"/>
      <c r="E1" s="33"/>
      <c r="F1" s="33"/>
    </row>
    <row r="2" spans="1:6" ht="18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5.75" customHeight="1" x14ac:dyDescent="0.25">
      <c r="A3" s="3">
        <v>1</v>
      </c>
      <c r="B3" s="4" t="s">
        <v>229</v>
      </c>
      <c r="C3" s="4" t="s">
        <v>230</v>
      </c>
      <c r="D3" s="4" t="s">
        <v>231</v>
      </c>
      <c r="E3" s="4" t="s">
        <v>232</v>
      </c>
      <c r="F3" s="4" t="s">
        <v>233</v>
      </c>
    </row>
    <row r="4" spans="1:6" ht="15.75" customHeight="1" x14ac:dyDescent="0.25">
      <c r="A4" s="13">
        <v>2</v>
      </c>
      <c r="B4" s="14" t="s">
        <v>234</v>
      </c>
      <c r="C4" s="14" t="s">
        <v>235</v>
      </c>
      <c r="D4" s="14" t="s">
        <v>236</v>
      </c>
      <c r="E4" s="14" t="s">
        <v>237</v>
      </c>
      <c r="F4" s="14" t="s">
        <v>238</v>
      </c>
    </row>
    <row r="5" spans="1:6" ht="15.75" customHeight="1" x14ac:dyDescent="0.25">
      <c r="A5" s="3">
        <v>3</v>
      </c>
      <c r="B5" s="4" t="s">
        <v>239</v>
      </c>
      <c r="C5" s="4" t="s">
        <v>240</v>
      </c>
      <c r="D5" s="4" t="s">
        <v>241</v>
      </c>
      <c r="E5" s="4" t="s">
        <v>242</v>
      </c>
      <c r="F5" s="4" t="s">
        <v>243</v>
      </c>
    </row>
    <row r="6" spans="1:6" ht="15.75" customHeight="1" x14ac:dyDescent="0.25">
      <c r="A6" s="13">
        <v>4</v>
      </c>
      <c r="B6" s="14" t="s">
        <v>244</v>
      </c>
      <c r="C6" s="14" t="s">
        <v>245</v>
      </c>
      <c r="D6" s="14" t="s">
        <v>246</v>
      </c>
      <c r="E6" s="14" t="s">
        <v>247</v>
      </c>
      <c r="F6" s="14" t="s">
        <v>248</v>
      </c>
    </row>
    <row r="7" spans="1:6" ht="15.75" customHeight="1" x14ac:dyDescent="0.25">
      <c r="A7" s="3">
        <v>5</v>
      </c>
      <c r="B7" s="4" t="s">
        <v>249</v>
      </c>
      <c r="C7" s="4" t="s">
        <v>250</v>
      </c>
      <c r="D7" s="4" t="s">
        <v>251</v>
      </c>
      <c r="E7" s="4" t="s">
        <v>252</v>
      </c>
      <c r="F7" s="4" t="s">
        <v>253</v>
      </c>
    </row>
    <row r="8" spans="1:6" ht="15.75" customHeight="1" x14ac:dyDescent="0.25">
      <c r="A8" s="13">
        <v>6</v>
      </c>
      <c r="B8" s="14" t="s">
        <v>254</v>
      </c>
      <c r="C8" s="14" t="s">
        <v>255</v>
      </c>
      <c r="D8" s="14" t="s">
        <v>256</v>
      </c>
      <c r="E8" s="14" t="s">
        <v>257</v>
      </c>
      <c r="F8" s="14" t="s">
        <v>258</v>
      </c>
    </row>
    <row r="9" spans="1:6" ht="15.75" customHeight="1" x14ac:dyDescent="0.25">
      <c r="A9" s="3">
        <v>7</v>
      </c>
      <c r="B9" s="4" t="s">
        <v>259</v>
      </c>
      <c r="C9" s="4" t="s">
        <v>260</v>
      </c>
      <c r="D9" s="4" t="s">
        <v>261</v>
      </c>
      <c r="E9" s="4" t="s">
        <v>262</v>
      </c>
      <c r="F9" s="4" t="s">
        <v>263</v>
      </c>
    </row>
    <row r="10" spans="1:6" ht="15.75" customHeight="1" x14ac:dyDescent="0.25">
      <c r="A10" s="13">
        <v>8</v>
      </c>
      <c r="B10" s="14" t="s">
        <v>264</v>
      </c>
      <c r="C10" s="14" t="s">
        <v>265</v>
      </c>
      <c r="D10" s="14" t="s">
        <v>266</v>
      </c>
      <c r="E10" s="14" t="s">
        <v>267</v>
      </c>
      <c r="F10" s="14" t="s">
        <v>268</v>
      </c>
    </row>
    <row r="11" spans="1:6" ht="15.75" customHeight="1" x14ac:dyDescent="0.25">
      <c r="A11" s="3">
        <v>9</v>
      </c>
      <c r="B11" s="4" t="s">
        <v>269</v>
      </c>
      <c r="C11" s="4" t="s">
        <v>270</v>
      </c>
      <c r="D11" s="4" t="s">
        <v>271</v>
      </c>
      <c r="E11" s="4" t="s">
        <v>272</v>
      </c>
      <c r="F11" s="4" t="s">
        <v>273</v>
      </c>
    </row>
    <row r="12" spans="1:6" ht="15.75" customHeight="1" x14ac:dyDescent="0.25">
      <c r="A12" s="13">
        <v>10</v>
      </c>
      <c r="B12" s="14" t="s">
        <v>274</v>
      </c>
      <c r="C12" s="14" t="s">
        <v>275</v>
      </c>
      <c r="D12" s="14" t="s">
        <v>276</v>
      </c>
      <c r="E12" s="14" t="s">
        <v>277</v>
      </c>
      <c r="F12" s="14"/>
    </row>
    <row r="13" spans="1:6" ht="15.75" customHeight="1" x14ac:dyDescent="0.25">
      <c r="A13" s="3">
        <v>11</v>
      </c>
      <c r="B13" s="4" t="s">
        <v>278</v>
      </c>
      <c r="C13" s="4" t="s">
        <v>279</v>
      </c>
      <c r="D13" s="4"/>
      <c r="E13" s="4" t="s">
        <v>280</v>
      </c>
      <c r="F13" s="4"/>
    </row>
    <row r="14" spans="1:6" ht="15.75" customHeight="1" x14ac:dyDescent="0.25">
      <c r="A14" s="13">
        <v>12</v>
      </c>
      <c r="B14" s="14" t="s">
        <v>281</v>
      </c>
      <c r="C14" s="14" t="s">
        <v>282</v>
      </c>
      <c r="D14" s="14" t="s">
        <v>283</v>
      </c>
      <c r="E14" s="14" t="s">
        <v>284</v>
      </c>
      <c r="F14" s="14"/>
    </row>
    <row r="15" spans="1:6" ht="15.75" customHeight="1" x14ac:dyDescent="0.25">
      <c r="A15" s="3">
        <v>13</v>
      </c>
      <c r="B15" s="4" t="s">
        <v>136</v>
      </c>
      <c r="C15" s="4" t="s">
        <v>285</v>
      </c>
      <c r="D15" s="4" t="s">
        <v>286</v>
      </c>
      <c r="E15" s="4" t="s">
        <v>287</v>
      </c>
      <c r="F15" s="4"/>
    </row>
    <row r="16" spans="1:6" ht="7.5" customHeight="1" x14ac:dyDescent="0.25"/>
    <row r="17" spans="1:6" ht="15.75" customHeight="1" x14ac:dyDescent="0.25">
      <c r="A17" s="29" t="s">
        <v>362</v>
      </c>
      <c r="B17" s="29"/>
      <c r="C17" s="29"/>
      <c r="D17" s="29"/>
      <c r="E17" s="29"/>
      <c r="F17" s="29"/>
    </row>
    <row r="18" spans="1:6" ht="15.75" customHeight="1" x14ac:dyDescent="0.25">
      <c r="A18" s="2"/>
      <c r="B18" s="2" t="s">
        <v>3</v>
      </c>
      <c r="C18" s="2" t="s">
        <v>4</v>
      </c>
      <c r="D18" s="2" t="s">
        <v>8</v>
      </c>
      <c r="E18" s="2" t="s">
        <v>363</v>
      </c>
      <c r="F18" s="2" t="s">
        <v>7</v>
      </c>
    </row>
    <row r="19" spans="1:6" ht="15.75" customHeight="1" x14ac:dyDescent="0.25">
      <c r="A19" s="17"/>
      <c r="B19" s="17" t="s">
        <v>288</v>
      </c>
      <c r="C19" s="17" t="s">
        <v>90</v>
      </c>
      <c r="D19" s="17" t="s">
        <v>364</v>
      </c>
      <c r="E19" s="17" t="s">
        <v>289</v>
      </c>
      <c r="F19" s="17" t="s">
        <v>290</v>
      </c>
    </row>
  </sheetData>
  <mergeCells count="2">
    <mergeCell ref="A1:F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3" customWidth="1"/>
    <col min="3" max="3" width="20" customWidth="1"/>
    <col min="4" max="4" width="14" customWidth="1"/>
    <col min="5" max="5" width="40" customWidth="1"/>
    <col min="6" max="6" width="16" customWidth="1"/>
  </cols>
  <sheetData>
    <row r="1" spans="1:6" ht="27.75" customHeight="1" x14ac:dyDescent="0.25">
      <c r="A1" s="34" t="s">
        <v>369</v>
      </c>
      <c r="B1" s="34"/>
      <c r="C1" s="34"/>
      <c r="D1" s="34"/>
      <c r="E1" s="34"/>
      <c r="F1" s="34"/>
    </row>
    <row r="2" spans="1:6" ht="18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5.75" customHeight="1" x14ac:dyDescent="0.25">
      <c r="A3" s="3">
        <v>1</v>
      </c>
      <c r="B3" s="4" t="s">
        <v>292</v>
      </c>
      <c r="C3" s="4" t="s">
        <v>293</v>
      </c>
      <c r="D3" s="4" t="s">
        <v>294</v>
      </c>
      <c r="E3" s="4" t="s">
        <v>295</v>
      </c>
      <c r="F3" s="4" t="s">
        <v>296</v>
      </c>
    </row>
    <row r="4" spans="1:6" ht="15.75" customHeight="1" x14ac:dyDescent="0.25">
      <c r="A4" s="15">
        <v>2</v>
      </c>
      <c r="B4" s="16" t="s">
        <v>297</v>
      </c>
      <c r="C4" s="16" t="s">
        <v>298</v>
      </c>
      <c r="D4" s="16" t="s">
        <v>299</v>
      </c>
      <c r="E4" s="16" t="s">
        <v>300</v>
      </c>
      <c r="F4" s="16" t="s">
        <v>301</v>
      </c>
    </row>
    <row r="5" spans="1:6" ht="15.75" customHeight="1" x14ac:dyDescent="0.25">
      <c r="A5" s="3">
        <v>3</v>
      </c>
      <c r="B5" s="4" t="s">
        <v>302</v>
      </c>
      <c r="C5" s="4" t="s">
        <v>198</v>
      </c>
      <c r="D5" s="4" t="s">
        <v>303</v>
      </c>
      <c r="E5" s="4" t="s">
        <v>200</v>
      </c>
      <c r="F5" s="4" t="s">
        <v>201</v>
      </c>
    </row>
    <row r="6" spans="1:6" ht="15.75" customHeight="1" x14ac:dyDescent="0.25">
      <c r="A6" s="15">
        <v>4</v>
      </c>
      <c r="B6" s="16" t="s">
        <v>304</v>
      </c>
      <c r="C6" s="16" t="s">
        <v>305</v>
      </c>
      <c r="D6" s="16" t="s">
        <v>306</v>
      </c>
      <c r="E6" s="16" t="s">
        <v>307</v>
      </c>
      <c r="F6" s="16" t="s">
        <v>308</v>
      </c>
    </row>
    <row r="7" spans="1:6" ht="15.75" customHeight="1" x14ac:dyDescent="0.25">
      <c r="A7" s="3">
        <v>5</v>
      </c>
      <c r="B7" s="4" t="s">
        <v>309</v>
      </c>
      <c r="C7" s="4" t="s">
        <v>310</v>
      </c>
      <c r="D7" s="4" t="s">
        <v>311</v>
      </c>
      <c r="E7" s="4" t="s">
        <v>312</v>
      </c>
      <c r="F7" s="4" t="s">
        <v>313</v>
      </c>
    </row>
    <row r="8" spans="1:6" ht="15.75" customHeight="1" x14ac:dyDescent="0.25">
      <c r="A8" s="15">
        <v>6</v>
      </c>
      <c r="B8" s="16" t="s">
        <v>314</v>
      </c>
      <c r="C8" s="16" t="s">
        <v>315</v>
      </c>
      <c r="D8" s="16" t="s">
        <v>316</v>
      </c>
      <c r="E8" s="16" t="s">
        <v>317</v>
      </c>
      <c r="F8" s="16" t="s">
        <v>313</v>
      </c>
    </row>
    <row r="9" spans="1:6" ht="15.75" customHeight="1" x14ac:dyDescent="0.25">
      <c r="A9" s="3">
        <v>7</v>
      </c>
      <c r="B9" s="4" t="s">
        <v>47</v>
      </c>
      <c r="C9" s="4" t="s">
        <v>318</v>
      </c>
      <c r="D9" s="4" t="s">
        <v>319</v>
      </c>
      <c r="E9" s="4" t="s">
        <v>320</v>
      </c>
      <c r="F9" s="4" t="s">
        <v>321</v>
      </c>
    </row>
    <row r="10" spans="1:6" ht="15.75" customHeight="1" x14ac:dyDescent="0.25">
      <c r="A10" s="15">
        <v>8</v>
      </c>
      <c r="B10" s="16" t="s">
        <v>322</v>
      </c>
      <c r="C10" s="16" t="s">
        <v>323</v>
      </c>
      <c r="D10" s="16" t="s">
        <v>324</v>
      </c>
      <c r="E10" s="16" t="s">
        <v>325</v>
      </c>
      <c r="F10" s="16"/>
    </row>
    <row r="11" spans="1:6" ht="15.75" customHeight="1" x14ac:dyDescent="0.25">
      <c r="A11" s="3">
        <v>9</v>
      </c>
      <c r="B11" s="4" t="s">
        <v>326</v>
      </c>
      <c r="C11" s="4" t="s">
        <v>327</v>
      </c>
      <c r="D11" s="4" t="s">
        <v>328</v>
      </c>
      <c r="E11" s="4" t="s">
        <v>329</v>
      </c>
      <c r="F11" s="4"/>
    </row>
    <row r="12" spans="1:6" ht="15.75" customHeight="1" x14ac:dyDescent="0.25">
      <c r="A12" s="15">
        <v>10</v>
      </c>
      <c r="B12" s="16" t="s">
        <v>104</v>
      </c>
      <c r="C12" s="16" t="s">
        <v>330</v>
      </c>
      <c r="D12" s="16" t="s">
        <v>331</v>
      </c>
      <c r="E12" s="16" t="s">
        <v>332</v>
      </c>
      <c r="F12" s="16"/>
    </row>
    <row r="13" spans="1:6" ht="15.75" customHeight="1" x14ac:dyDescent="0.25">
      <c r="A13" s="3">
        <v>11</v>
      </c>
      <c r="B13" s="4" t="s">
        <v>333</v>
      </c>
      <c r="C13" s="4" t="s">
        <v>334</v>
      </c>
      <c r="D13" s="4" t="s">
        <v>335</v>
      </c>
      <c r="E13" s="4" t="s">
        <v>336</v>
      </c>
      <c r="F13" s="4"/>
    </row>
    <row r="14" spans="1:6" ht="15.75" customHeight="1" x14ac:dyDescent="0.25">
      <c r="A14" s="15">
        <v>12</v>
      </c>
      <c r="B14" s="16" t="s">
        <v>337</v>
      </c>
      <c r="C14" s="16" t="s">
        <v>338</v>
      </c>
      <c r="D14" s="16" t="s">
        <v>339</v>
      </c>
      <c r="E14" s="16" t="s">
        <v>340</v>
      </c>
      <c r="F14" s="16"/>
    </row>
    <row r="15" spans="1:6" ht="15.75" customHeight="1" x14ac:dyDescent="0.25">
      <c r="A15" s="3">
        <v>13</v>
      </c>
      <c r="B15" s="4" t="s">
        <v>341</v>
      </c>
      <c r="C15" s="4" t="s">
        <v>342</v>
      </c>
      <c r="D15" s="4" t="s">
        <v>343</v>
      </c>
      <c r="E15" s="4" t="s">
        <v>344</v>
      </c>
      <c r="F15" s="4" t="s">
        <v>345</v>
      </c>
    </row>
    <row r="16" spans="1:6" ht="15.75" customHeight="1" x14ac:dyDescent="0.25">
      <c r="A16" s="15">
        <v>14</v>
      </c>
      <c r="B16" s="16" t="s">
        <v>346</v>
      </c>
      <c r="C16" s="16" t="s">
        <v>347</v>
      </c>
      <c r="D16" s="16" t="s">
        <v>348</v>
      </c>
      <c r="E16" s="16" t="s">
        <v>349</v>
      </c>
      <c r="F16" s="16" t="s">
        <v>350</v>
      </c>
    </row>
    <row r="17" spans="1:6" ht="15.75" customHeight="1" x14ac:dyDescent="0.25">
      <c r="A17" s="3">
        <v>15</v>
      </c>
      <c r="B17" s="4" t="s">
        <v>351</v>
      </c>
      <c r="C17" s="4" t="s">
        <v>352</v>
      </c>
      <c r="D17" s="4" t="s">
        <v>353</v>
      </c>
      <c r="E17" s="4" t="s">
        <v>354</v>
      </c>
      <c r="F17" s="4" t="s">
        <v>355</v>
      </c>
    </row>
    <row r="18" spans="1:6" ht="15.75" customHeight="1" x14ac:dyDescent="0.25">
      <c r="A18" s="15">
        <v>16</v>
      </c>
      <c r="B18" s="16" t="s">
        <v>356</v>
      </c>
      <c r="C18" s="16" t="s">
        <v>357</v>
      </c>
      <c r="D18" s="16" t="s">
        <v>358</v>
      </c>
      <c r="E18" s="16" t="s">
        <v>359</v>
      </c>
      <c r="F18" s="16" t="s">
        <v>360</v>
      </c>
    </row>
    <row r="19" spans="1:6" ht="7.5" customHeight="1" x14ac:dyDescent="0.25"/>
    <row r="20" spans="1:6" ht="15.75" customHeight="1" x14ac:dyDescent="0.25">
      <c r="A20" s="29" t="s">
        <v>362</v>
      </c>
      <c r="B20" s="29"/>
      <c r="C20" s="29"/>
      <c r="D20" s="29"/>
      <c r="E20" s="29"/>
      <c r="F20" s="29"/>
    </row>
    <row r="21" spans="1:6" ht="15.75" customHeight="1" x14ac:dyDescent="0.25">
      <c r="A21" s="2"/>
      <c r="B21" s="2" t="s">
        <v>3</v>
      </c>
      <c r="C21" s="2" t="s">
        <v>4</v>
      </c>
      <c r="D21" s="2" t="s">
        <v>8</v>
      </c>
      <c r="E21" s="2" t="s">
        <v>363</v>
      </c>
      <c r="F21" s="2" t="s">
        <v>7</v>
      </c>
    </row>
    <row r="22" spans="1:6" ht="15.75" customHeight="1" x14ac:dyDescent="0.25">
      <c r="A22" s="17"/>
      <c r="B22" s="17" t="s">
        <v>226</v>
      </c>
      <c r="C22" s="17" t="s">
        <v>198</v>
      </c>
      <c r="D22" s="17" t="s">
        <v>364</v>
      </c>
      <c r="E22" s="17" t="s">
        <v>227</v>
      </c>
      <c r="F22" s="17" t="s">
        <v>201</v>
      </c>
    </row>
  </sheetData>
  <mergeCells count="2">
    <mergeCell ref="A1:F1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Roster</vt:lpstr>
      <vt:lpstr>U-8</vt:lpstr>
      <vt:lpstr>U-9</vt:lpstr>
      <vt:lpstr>U-10</vt:lpstr>
      <vt:lpstr>U-11</vt:lpstr>
      <vt:lpstr>U-12</vt:lpstr>
      <vt:lpstr>U-13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 Haughey</cp:lastModifiedBy>
  <cp:revision>0</cp:revision>
  <cp:lastPrinted>2026-06-01T21:00:22Z</cp:lastPrinted>
  <dcterms:created xsi:type="dcterms:W3CDTF">2026-05-28T16:11:16Z</dcterms:created>
  <dcterms:modified xsi:type="dcterms:W3CDTF">2026-06-04T16:17:44Z</dcterms:modified>
  <dc:language>en-US</dc:language>
</cp:coreProperties>
</file>